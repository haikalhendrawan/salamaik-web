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alamaik-web\docs\"/>
    </mc:Choice>
  </mc:AlternateContent>
  <xr:revisionPtr revIDLastSave="0" documentId="8_{569BB5AC-3CEB-4D13-98E8-2543C70794D4}" xr6:coauthVersionLast="47" xr6:coauthVersionMax="47" xr10:uidLastSave="{00000000-0000-0000-0000-000000000000}"/>
  <bookViews>
    <workbookView xWindow="-120" yWindow="-120" windowWidth="29040" windowHeight="16440" xr2:uid="{7E4D5E05-3965-4556-9F42-E9ECD1C06503}"/>
  </bookViews>
  <sheets>
    <sheet name="REKA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J10" i="1" s="1"/>
  <c r="E10" i="1"/>
  <c r="G10" i="1" s="1"/>
  <c r="B10" i="1"/>
  <c r="D10" i="1" s="1"/>
  <c r="K10" i="1" s="1"/>
  <c r="H7" i="1"/>
  <c r="J7" i="1" s="1"/>
  <c r="E7" i="1"/>
  <c r="G7" i="1" s="1"/>
  <c r="B7" i="1"/>
  <c r="D7" i="1" s="1"/>
  <c r="K7" i="1" s="1"/>
</calcChain>
</file>

<file path=xl/sharedStrings.xml><?xml version="1.0" encoding="utf-8"?>
<sst xmlns="http://schemas.openxmlformats.org/spreadsheetml/2006/main" count="20" uniqueCount="19">
  <si>
    <t>PENILAIAN ASPEK KINERJA KPPN BUKITTINGGI</t>
  </si>
  <si>
    <t>Nama KPPN</t>
  </si>
  <si>
    <t>Penilaian Aspek Kinerja KPPN</t>
  </si>
  <si>
    <t>Proses Bisnis (PB) (50%)</t>
  </si>
  <si>
    <t>Sarana dan Prasarana Mutu Layanan (15%)</t>
  </si>
  <si>
    <t>Capaian Kinerja (35%)</t>
  </si>
  <si>
    <t>AKK KPPN</t>
  </si>
  <si>
    <t>Nilai Kertas Kerja PB</t>
  </si>
  <si>
    <t>Bobot PB</t>
  </si>
  <si>
    <t>Nilai PB</t>
  </si>
  <si>
    <t>Nilai Kertas Kerja SPML</t>
  </si>
  <si>
    <t>Bobot SPML</t>
  </si>
  <si>
    <t>Nilai SPML</t>
  </si>
  <si>
    <t>Nilai Kertas Kerja CK</t>
  </si>
  <si>
    <t>Bobot CK</t>
  </si>
  <si>
    <t>Nilai CK</t>
  </si>
  <si>
    <t>Berdasarkan self assessment KPPN</t>
  </si>
  <si>
    <t>Bukittinggi</t>
  </si>
  <si>
    <t>Berdasarkan penilaian Kanwil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</si>
</sst>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1" xfId="0" applyFont="1" applyFill="1" applyBorder="1"/>
    <xf numFmtId="2" fontId="5" fillId="4" borderId="1" xfId="0" applyNumberFormat="1" applyFont="1" applyFill="1" applyBorder="1"/>
    <xf numFmtId="9" fontId="5" fillId="4" borderId="1" xfId="0" applyNumberFormat="1" applyFont="1" applyFill="1" applyBorder="1"/>
    <xf numFmtId="0" fontId="5" fillId="4" borderId="1" xfId="0" applyFont="1" applyFill="1" applyBorder="1"/>
    <xf numFmtId="0" fontId="0" fillId="0" borderId="1" xfId="0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/>
    <xf numFmtId="2" fontId="0" fillId="5" borderId="1" xfId="0" applyNumberFormat="1" applyFill="1" applyBorder="1"/>
    <xf numFmtId="9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emenkeu-my.sharepoint.com/personal/haikal_hendrawan_kemenkeu_go_id/Documents/BACKUP_DEV/5.salamaik/KPPN_Kertas%20Kerja%20Pembinaan%20dan%20Supervisi%20KPPN%20Semester%20I%202026_KPPN%20Bukittinggi%20(4).xlsx" TargetMode="External"/><Relationship Id="rId1" Type="http://schemas.openxmlformats.org/officeDocument/2006/relationships/externalLinkPath" Target="https://kemenkeu-my.sharepoint.com/personal/haikal_hendrawan_kemenkeu_go_id/Documents/BACKUP_DEV/5.salamaik/KPPN_Kertas%20Kerja%20Pembinaan%20dan%20Supervisi%20KPPN%20Semester%20I%202026_KPPN%20Bukittinggi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K_Proses Bisnis"/>
      <sheetName val="KK_Sarpras Mutu Layanan"/>
      <sheetName val="KK_Capaian Kinerja"/>
      <sheetName val="REKAP"/>
    </sheetNames>
    <sheetDataSet>
      <sheetData sheetId="0">
        <row r="128">
          <cell r="I128">
            <v>100</v>
          </cell>
          <cell r="M128">
            <v>97.804878048780495</v>
          </cell>
        </row>
      </sheetData>
      <sheetData sheetId="1">
        <row r="165">
          <cell r="G165">
            <v>100</v>
          </cell>
          <cell r="K165">
            <v>99.145299145299148</v>
          </cell>
        </row>
      </sheetData>
      <sheetData sheetId="2">
        <row r="24">
          <cell r="G24">
            <v>100</v>
          </cell>
          <cell r="K24">
            <v>100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34C1-0C01-4AF7-B4B9-B6A3E55D22D0}">
  <sheetPr>
    <tabColor rgb="FFFFFF00"/>
  </sheetPr>
  <dimension ref="A1:K10"/>
  <sheetViews>
    <sheetView tabSelected="1" workbookViewId="0">
      <selection activeCell="F14" sqref="F14"/>
    </sheetView>
  </sheetViews>
  <sheetFormatPr defaultRowHeight="15" x14ac:dyDescent="0.25"/>
  <cols>
    <col min="1" max="1" width="15.140625" customWidth="1"/>
    <col min="2" max="2" width="22.28515625" customWidth="1"/>
    <col min="4" max="4" width="13" customWidth="1"/>
    <col min="5" max="5" width="22.140625" customWidth="1"/>
    <col min="6" max="6" width="12.5703125" customWidth="1"/>
    <col min="7" max="7" width="14.42578125" customWidth="1"/>
    <col min="8" max="8" width="20.85546875" customWidth="1"/>
    <col min="9" max="9" width="11" customWidth="1"/>
    <col min="10" max="10" width="9.7109375" customWidth="1"/>
    <col min="11" max="11" width="10.8554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2"/>
      <c r="B4" s="3" t="s">
        <v>3</v>
      </c>
      <c r="C4" s="3"/>
      <c r="D4" s="3"/>
      <c r="E4" s="3" t="s">
        <v>4</v>
      </c>
      <c r="F4" s="3"/>
      <c r="G4" s="3"/>
      <c r="H4" s="3" t="s">
        <v>5</v>
      </c>
      <c r="I4" s="3"/>
      <c r="J4" s="3"/>
      <c r="K4" s="4" t="s">
        <v>6</v>
      </c>
    </row>
    <row r="5" spans="1:11" x14ac:dyDescent="0.25">
      <c r="A5" s="2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4"/>
    </row>
    <row r="6" spans="1:11" x14ac:dyDescent="0.25">
      <c r="A6" s="6" t="s">
        <v>16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x14ac:dyDescent="0.25">
      <c r="A7" s="9" t="s">
        <v>17</v>
      </c>
      <c r="B7" s="10">
        <f>'[1]KK_Proses Bisnis'!I128</f>
        <v>100</v>
      </c>
      <c r="C7" s="11">
        <v>0.5</v>
      </c>
      <c r="D7" s="10">
        <f>B7*C7</f>
        <v>50</v>
      </c>
      <c r="E7" s="10">
        <f>'[1]KK_Sarpras Mutu Layanan'!G165</f>
        <v>100</v>
      </c>
      <c r="F7" s="11">
        <v>0.15</v>
      </c>
      <c r="G7" s="10">
        <f>E7*F7</f>
        <v>15</v>
      </c>
      <c r="H7" s="12">
        <f>'[1]KK_Capaian Kinerja'!G24</f>
        <v>100</v>
      </c>
      <c r="I7" s="11">
        <v>0.35</v>
      </c>
      <c r="J7" s="12">
        <f>H7*I7</f>
        <v>35</v>
      </c>
      <c r="K7" s="10">
        <f>D7+G7+J7</f>
        <v>100</v>
      </c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5">
      <c r="A9" s="14" t="s">
        <v>18</v>
      </c>
      <c r="B9" s="15"/>
      <c r="C9" s="15"/>
      <c r="D9" s="15"/>
      <c r="E9" s="15"/>
      <c r="F9" s="15"/>
      <c r="G9" s="15"/>
      <c r="H9" s="15"/>
      <c r="I9" s="15"/>
      <c r="J9" s="15"/>
      <c r="K9" s="16"/>
    </row>
    <row r="10" spans="1:11" x14ac:dyDescent="0.25">
      <c r="A10" s="17" t="s">
        <v>17</v>
      </c>
      <c r="B10" s="18">
        <f>'[1]KK_Proses Bisnis'!M128</f>
        <v>97.804878048780495</v>
      </c>
      <c r="C10" s="19">
        <v>0.5</v>
      </c>
      <c r="D10" s="18">
        <f>B10*C10</f>
        <v>48.902439024390247</v>
      </c>
      <c r="E10" s="18">
        <f>'[1]KK_Sarpras Mutu Layanan'!K165</f>
        <v>99.145299145299148</v>
      </c>
      <c r="F10" s="19">
        <v>0.15</v>
      </c>
      <c r="G10" s="18">
        <f>E10*F10</f>
        <v>14.871794871794872</v>
      </c>
      <c r="H10" s="18">
        <f>'[1]KK_Capaian Kinerja'!K24</f>
        <v>100</v>
      </c>
      <c r="I10" s="19">
        <v>0.35</v>
      </c>
      <c r="J10" s="18">
        <f>H10*I10</f>
        <v>35</v>
      </c>
      <c r="K10" s="18">
        <f>D10+G10+J10</f>
        <v>98.774233896185123</v>
      </c>
    </row>
  </sheetData>
  <sheetProtection sheet="1" objects="1" scenarios="1" formatCells="0" formatColumns="0"/>
  <mergeCells count="9">
    <mergeCell ref="A6:K6"/>
    <mergeCell ref="A9:K9"/>
    <mergeCell ref="A1:K1"/>
    <mergeCell ref="A3:A5"/>
    <mergeCell ref="B3:K3"/>
    <mergeCell ref="B4:D4"/>
    <mergeCell ref="E4:G4"/>
    <mergeCell ref="H4:J4"/>
    <mergeCell ref="K4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Haikal Putra Hendrawan</dc:creator>
  <cp:lastModifiedBy>Muhammad Haikal Putra Hendrawan</cp:lastModifiedBy>
  <dcterms:created xsi:type="dcterms:W3CDTF">2026-09-12T03:39:45Z</dcterms:created>
  <dcterms:modified xsi:type="dcterms:W3CDTF">2026-09-12T03:40:14Z</dcterms:modified>
</cp:coreProperties>
</file>