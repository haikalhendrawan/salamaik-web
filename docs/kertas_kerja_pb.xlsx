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salamaik-web\docs\"/>
    </mc:Choice>
  </mc:AlternateContent>
  <xr:revisionPtr revIDLastSave="0" documentId="8_{73CDD8F1-3CED-4D6C-B00F-51101918D6F6}" xr6:coauthVersionLast="47" xr6:coauthVersionMax="47" xr10:uidLastSave="{00000000-0000-0000-0000-000000000000}"/>
  <bookViews>
    <workbookView xWindow="-120" yWindow="-120" windowWidth="29040" windowHeight="16440" xr2:uid="{235DAA72-4D83-4E56-8F5E-FD50F2CDCA84}"/>
  </bookViews>
  <sheets>
    <sheet name="KK_Proses Bisnis" sheetId="1" r:id="rId1"/>
  </sheets>
  <externalReferences>
    <externalReference r:id="rId2"/>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8" i="1" l="1"/>
  <c r="L126" i="1"/>
  <c r="M126" i="1" s="1"/>
  <c r="J126" i="1"/>
  <c r="I126" i="1"/>
  <c r="L125" i="1"/>
  <c r="M125" i="1" s="1"/>
  <c r="J125" i="1"/>
  <c r="I125" i="1"/>
  <c r="L124" i="1"/>
  <c r="M124" i="1" s="1"/>
  <c r="J124" i="1"/>
  <c r="I124" i="1"/>
  <c r="L123" i="1"/>
  <c r="M123" i="1" s="1"/>
  <c r="J123" i="1"/>
  <c r="I123" i="1"/>
  <c r="L121" i="1"/>
  <c r="M121" i="1" s="1"/>
  <c r="J121" i="1"/>
  <c r="I121" i="1"/>
  <c r="L120" i="1"/>
  <c r="M120" i="1" s="1"/>
  <c r="J120" i="1"/>
  <c r="I120" i="1"/>
  <c r="L119" i="1"/>
  <c r="M119" i="1" s="1"/>
  <c r="J119" i="1"/>
  <c r="I119" i="1"/>
  <c r="L117" i="1"/>
  <c r="M117" i="1" s="1"/>
  <c r="J117" i="1"/>
  <c r="I117" i="1"/>
  <c r="L116" i="1"/>
  <c r="M116" i="1" s="1"/>
  <c r="J116" i="1"/>
  <c r="I116" i="1"/>
  <c r="L115" i="1"/>
  <c r="M115" i="1" s="1"/>
  <c r="J115" i="1"/>
  <c r="I115" i="1"/>
  <c r="L114" i="1"/>
  <c r="M114" i="1" s="1"/>
  <c r="J114" i="1"/>
  <c r="I114" i="1"/>
  <c r="L112" i="1"/>
  <c r="M112" i="1" s="1"/>
  <c r="J112" i="1"/>
  <c r="I112" i="1"/>
  <c r="L111" i="1"/>
  <c r="M111" i="1" s="1"/>
  <c r="J111" i="1"/>
  <c r="I111" i="1"/>
  <c r="L110" i="1"/>
  <c r="M110" i="1" s="1"/>
  <c r="J110" i="1"/>
  <c r="I110" i="1"/>
  <c r="L109" i="1"/>
  <c r="M109" i="1" s="1"/>
  <c r="J109" i="1"/>
  <c r="I109" i="1"/>
  <c r="L108" i="1"/>
  <c r="M108" i="1" s="1"/>
  <c r="J108" i="1"/>
  <c r="I108" i="1"/>
  <c r="L107" i="1"/>
  <c r="M107" i="1" s="1"/>
  <c r="J107" i="1"/>
  <c r="I107" i="1"/>
  <c r="L106" i="1"/>
  <c r="M106" i="1" s="1"/>
  <c r="J106" i="1"/>
  <c r="I106" i="1"/>
  <c r="L104" i="1"/>
  <c r="M104" i="1" s="1"/>
  <c r="J104" i="1"/>
  <c r="I104" i="1"/>
  <c r="L103" i="1"/>
  <c r="M103" i="1" s="1"/>
  <c r="J103" i="1"/>
  <c r="I103" i="1"/>
  <c r="L102" i="1"/>
  <c r="M102" i="1" s="1"/>
  <c r="J102" i="1"/>
  <c r="I102" i="1"/>
  <c r="L101" i="1"/>
  <c r="M101" i="1" s="1"/>
  <c r="J101" i="1"/>
  <c r="I101" i="1"/>
  <c r="L99" i="1"/>
  <c r="M99" i="1" s="1"/>
  <c r="J99" i="1"/>
  <c r="I99" i="1"/>
  <c r="L98" i="1"/>
  <c r="M98" i="1" s="1"/>
  <c r="J98" i="1"/>
  <c r="I98" i="1"/>
  <c r="L97" i="1"/>
  <c r="M97" i="1" s="1"/>
  <c r="J97" i="1"/>
  <c r="I97" i="1"/>
  <c r="L95" i="1"/>
  <c r="M95" i="1" s="1"/>
  <c r="J95" i="1"/>
  <c r="I95" i="1"/>
  <c r="L94" i="1"/>
  <c r="M94" i="1" s="1"/>
  <c r="J94" i="1"/>
  <c r="I94" i="1"/>
  <c r="L93" i="1"/>
  <c r="M93" i="1" s="1"/>
  <c r="J93" i="1"/>
  <c r="I93" i="1"/>
  <c r="L92" i="1"/>
  <c r="M92" i="1" s="1"/>
  <c r="J92" i="1"/>
  <c r="I92" i="1"/>
  <c r="L91" i="1"/>
  <c r="M91" i="1" s="1"/>
  <c r="J91" i="1"/>
  <c r="I91" i="1"/>
  <c r="L90" i="1"/>
  <c r="M90" i="1" s="1"/>
  <c r="J90" i="1"/>
  <c r="I90" i="1"/>
  <c r="L89" i="1"/>
  <c r="M89" i="1" s="1"/>
  <c r="J89" i="1"/>
  <c r="I89" i="1"/>
  <c r="L85" i="1"/>
  <c r="M85" i="1" s="1"/>
  <c r="J85" i="1"/>
  <c r="I85" i="1"/>
  <c r="L84" i="1"/>
  <c r="M84" i="1" s="1"/>
  <c r="J84" i="1"/>
  <c r="I84" i="1"/>
  <c r="L83" i="1"/>
  <c r="M83" i="1" s="1"/>
  <c r="J83" i="1"/>
  <c r="I83" i="1"/>
  <c r="L82" i="1"/>
  <c r="M82" i="1" s="1"/>
  <c r="J82" i="1"/>
  <c r="I82" i="1"/>
  <c r="L81" i="1"/>
  <c r="M81" i="1" s="1"/>
  <c r="J81" i="1"/>
  <c r="I81" i="1"/>
  <c r="L78" i="1"/>
  <c r="M78" i="1" s="1"/>
  <c r="J78" i="1"/>
  <c r="I78" i="1"/>
  <c r="L77" i="1"/>
  <c r="M77" i="1" s="1"/>
  <c r="J77" i="1"/>
  <c r="I77" i="1"/>
  <c r="L74" i="1"/>
  <c r="M74" i="1" s="1"/>
  <c r="J74" i="1"/>
  <c r="I74" i="1"/>
  <c r="L73" i="1"/>
  <c r="M73" i="1" s="1"/>
  <c r="J73" i="1"/>
  <c r="I73" i="1"/>
  <c r="L71" i="1"/>
  <c r="M71" i="1" s="1"/>
  <c r="J71" i="1"/>
  <c r="I71" i="1"/>
  <c r="L70" i="1"/>
  <c r="M70" i="1" s="1"/>
  <c r="J70" i="1"/>
  <c r="I70" i="1"/>
  <c r="L69" i="1"/>
  <c r="M69" i="1" s="1"/>
  <c r="J69" i="1"/>
  <c r="I69" i="1"/>
  <c r="L66" i="1"/>
  <c r="M66" i="1" s="1"/>
  <c r="J66" i="1"/>
  <c r="I66" i="1"/>
  <c r="L65" i="1"/>
  <c r="M65" i="1" s="1"/>
  <c r="J65" i="1"/>
  <c r="I65" i="1"/>
  <c r="L63" i="1"/>
  <c r="M63" i="1" s="1"/>
  <c r="J63" i="1"/>
  <c r="I63" i="1"/>
  <c r="L62" i="1"/>
  <c r="M62" i="1" s="1"/>
  <c r="J62" i="1"/>
  <c r="I62" i="1"/>
  <c r="L60" i="1"/>
  <c r="M60" i="1" s="1"/>
  <c r="J60" i="1"/>
  <c r="I60" i="1"/>
  <c r="L59" i="1"/>
  <c r="M59" i="1" s="1"/>
  <c r="J59" i="1"/>
  <c r="I59" i="1"/>
  <c r="L57" i="1"/>
  <c r="M57" i="1" s="1"/>
  <c r="J57" i="1"/>
  <c r="I57" i="1"/>
  <c r="L56" i="1"/>
  <c r="M56" i="1" s="1"/>
  <c r="J56" i="1"/>
  <c r="I56" i="1"/>
  <c r="L55" i="1"/>
  <c r="M55" i="1" s="1"/>
  <c r="J55" i="1"/>
  <c r="I55" i="1"/>
  <c r="L50" i="1"/>
  <c r="M50" i="1" s="1"/>
  <c r="J50" i="1"/>
  <c r="I50" i="1"/>
  <c r="L48" i="1"/>
  <c r="M48" i="1" s="1"/>
  <c r="J48" i="1"/>
  <c r="I48" i="1"/>
  <c r="L46" i="1"/>
  <c r="M46" i="1" s="1"/>
  <c r="J46" i="1"/>
  <c r="I46" i="1"/>
  <c r="L44" i="1"/>
  <c r="M44" i="1" s="1"/>
  <c r="J44" i="1"/>
  <c r="I44" i="1"/>
  <c r="L40" i="1"/>
  <c r="M40" i="1" s="1"/>
  <c r="J40" i="1"/>
  <c r="I40" i="1"/>
  <c r="L38" i="1"/>
  <c r="M38" i="1" s="1"/>
  <c r="J38" i="1"/>
  <c r="I38" i="1"/>
  <c r="L36" i="1"/>
  <c r="M36" i="1" s="1"/>
  <c r="J36" i="1"/>
  <c r="I36" i="1"/>
  <c r="L35" i="1"/>
  <c r="M35" i="1" s="1"/>
  <c r="J35" i="1"/>
  <c r="I35" i="1"/>
  <c r="L34" i="1"/>
  <c r="M34" i="1" s="1"/>
  <c r="J34" i="1"/>
  <c r="I34" i="1"/>
  <c r="L33" i="1"/>
  <c r="M33" i="1" s="1"/>
  <c r="J33" i="1"/>
  <c r="I33" i="1"/>
  <c r="L31" i="1"/>
  <c r="M31" i="1" s="1"/>
  <c r="J31" i="1"/>
  <c r="I31" i="1"/>
  <c r="L30" i="1"/>
  <c r="M30" i="1" s="1"/>
  <c r="J30" i="1"/>
  <c r="I30" i="1"/>
  <c r="L28" i="1"/>
  <c r="M28" i="1" s="1"/>
  <c r="J28" i="1"/>
  <c r="I28" i="1"/>
  <c r="L27" i="1"/>
  <c r="M27" i="1" s="1"/>
  <c r="J27" i="1"/>
  <c r="I27" i="1"/>
  <c r="L25" i="1"/>
  <c r="M25" i="1" s="1"/>
  <c r="J25" i="1"/>
  <c r="I25" i="1"/>
  <c r="L24" i="1"/>
  <c r="M24" i="1" s="1"/>
  <c r="J24" i="1"/>
  <c r="I24" i="1"/>
  <c r="L22" i="1"/>
  <c r="M22" i="1" s="1"/>
  <c r="J22" i="1"/>
  <c r="I22" i="1"/>
  <c r="L21" i="1"/>
  <c r="M21" i="1" s="1"/>
  <c r="J21" i="1"/>
  <c r="I21" i="1"/>
  <c r="J20" i="1"/>
  <c r="M19" i="1"/>
  <c r="L19" i="1"/>
  <c r="J19" i="1"/>
  <c r="I19" i="1"/>
  <c r="L18" i="1"/>
  <c r="M18" i="1" s="1"/>
  <c r="J18" i="1"/>
  <c r="I18" i="1"/>
  <c r="J17" i="1"/>
  <c r="L16" i="1"/>
  <c r="M16" i="1" s="1"/>
  <c r="J16" i="1"/>
  <c r="I16" i="1"/>
  <c r="M15" i="1"/>
  <c r="L15" i="1"/>
  <c r="J15" i="1"/>
  <c r="I15" i="1"/>
  <c r="L14" i="1"/>
  <c r="M14" i="1" s="1"/>
  <c r="J14" i="1"/>
  <c r="I14" i="1"/>
  <c r="M12" i="1"/>
  <c r="L12" i="1"/>
  <c r="J12" i="1"/>
  <c r="I12" i="1"/>
  <c r="L11" i="1"/>
  <c r="M11" i="1" s="1"/>
  <c r="J11" i="1"/>
  <c r="I11" i="1"/>
  <c r="M10" i="1"/>
  <c r="L10" i="1"/>
  <c r="J10" i="1"/>
  <c r="I10" i="1"/>
  <c r="L9" i="1"/>
  <c r="M9" i="1" s="1"/>
  <c r="J9" i="1"/>
  <c r="I9" i="1"/>
  <c r="M8" i="1"/>
  <c r="L8" i="1"/>
  <c r="J8" i="1"/>
  <c r="I8" i="1"/>
  <c r="L6" i="1"/>
  <c r="M6" i="1" s="1"/>
  <c r="M128" i="1" s="1"/>
  <c r="J6" i="1"/>
  <c r="I6" i="1"/>
  <c r="M5" i="1"/>
  <c r="L5" i="1"/>
  <c r="J5" i="1"/>
  <c r="I5" i="1"/>
  <c r="I127" i="1" s="1"/>
  <c r="M127" i="1" l="1"/>
</calcChain>
</file>

<file path=xl/sharedStrings.xml><?xml version="1.0" encoding="utf-8"?>
<sst xmlns="http://schemas.openxmlformats.org/spreadsheetml/2006/main" count="550" uniqueCount="531">
  <si>
    <t>No</t>
  </si>
  <si>
    <t>Materi</t>
  </si>
  <si>
    <t>Kriteria Penilaian</t>
  </si>
  <si>
    <t>Critical Point</t>
  </si>
  <si>
    <t>Dasar Hukum</t>
  </si>
  <si>
    <t>Bukti Dukung</t>
  </si>
  <si>
    <t>Link Bukti Dukung</t>
  </si>
  <si>
    <t xml:space="preserve">Berdasarkan Self Assessment KPPN </t>
  </si>
  <si>
    <t>Nilai Konversi</t>
  </si>
  <si>
    <t>Catatan Hasil Reviu Kanwil</t>
  </si>
  <si>
    <t>Berdasarkan Penilaian Kanwil DJPb</t>
  </si>
  <si>
    <t>Nilai
*jika tidak mempunyai transaksi maka kolom diisi "N/A"</t>
  </si>
  <si>
    <t>TREASURY OPERATION</t>
  </si>
  <si>
    <t>A.    Likuiditas Keuangan di Daerah</t>
  </si>
  <si>
    <t>Akurasi Rencana Penarikan Dana (RPD) Harian Satker secara semesteran</t>
  </si>
  <si>
    <t>Penilaian berdasarkan tingkat deviasi RPD pada aplikasi MyIntress Modul Renkas, dengan formula:
Nilai Deviasi=(30% x Deviasi Unit)
(70% x Deviasi Nilai)
- Nilai 10 
Perhitungan nilai deviasi antara 0 s.d 4,99% 
- Nilai 7
Perhitungan nilai deviasi antara 5% s.d. 8% 
- Nilai 5 
Perhitungan nilai deviasi lebih dari 8%</t>
  </si>
  <si>
    <t>1.	Deviasi RPD &lt; 5 mencerminkan akurasi perencanaan kas dan stabilitas likuiditas wilayah;
2.	Nilai deviasi menunjukkan efektivitas koordinasi Satker–KPPN–Kanwil;
3.	Satker dengan deviasi tinggi perlu menjadi prioritas pembinaan.</t>
  </si>
  <si>
    <t>1.	PMK Nomor 155 Tahun 2023 tentang Perencanaan Kas Pemerintah Pusat.
2.	Perdirjen Perberdaharaan Nomor PER-5/PB/2024 tentang Petunjuk Teknis Penilaian Indikator Kinerja Pelaksanaan Anggaran Belanja Kementerian Negara/ Lembaga.
3.	Peraturan/ketentuan lainnya terkait rencana penarikan dana, rencana penerimaan dana, dan perencanaan kas.</t>
  </si>
  <si>
    <t xml:space="preserve">Tangkapan layar Myintress terkait monitoring deviasi RPD     </t>
  </si>
  <si>
    <t>PB01_Laporan Monitoring Deviasi RPD Triwulanan</t>
  </si>
  <si>
    <t>Upaya Meminimalisasi Terjadinya RPD Satker</t>
  </si>
  <si>
    <t xml:space="preserve">Penilaian berdasarkan langkah nyata KPPN dalam melakukan pencegahan dan penanganan deviasi RPD melalui monitoring dan komunikasi aktif kepada Satker
- Nilai 10 
KPPN melakukan upaya nyata meminimalisasi deviasi RPD, seperti surat pemberitahuan, rekap monitoring realisasi anggaran, atau bimbingan/konsultasi kepada Satker, disertai dokumen pendukung yang jelas.
- Nilai 0 
Tidak terdapat bukti atau keterangan yang menunjukkan upaya KPPN dalam meminimalisasi deviasi RPD. </t>
  </si>
  <si>
    <t>1. KPPN wajib melakukan pembinaan proaktif kepada Satker dengan deviasi tinggi melalui mekanisme early warning MyIntress.
2. Tindakan preventif mencerminkan tanggung jawab KPPN dalam menjaga efektivitas perencanaan kas dan disiplin RPD Satker.</t>
  </si>
  <si>
    <t>Nota dinas, laporan, atau dokumentasi dalam bentuk lainnya.</t>
  </si>
  <si>
    <t>PB02_Sharing Session Peningkatan Capaian IKPA</t>
  </si>
  <si>
    <t>B.    Penyaluran Belanja atas Beban APBN (Instansi Pusat)</t>
  </si>
  <si>
    <t>Prosedur Penerbitan SP2D</t>
  </si>
  <si>
    <t>Berdasarkan uji sampling terhadap 10 pelaksanaan SOP Penerbitan SP2D untuk menilai kesesuaian proses bisnis dengan ketentuan yang berlaku.
- Nilai 10
Tidak ditemukan penyimpangan atau ketidaksesuaian terhadap prosedur dalam SOP Penerbitan SP2D.
- Nilai 0
Ditemukan ketidaksesuaian terhadap prosedur kerja sesuai SOP Penerbitan SP2D.</t>
  </si>
  <si>
    <t>1.	Kepatuhan penerbitan SP2D sesuai SOP pengukuran efektivitas pengendalian internal.
2.	Setiap temuan ketidaksesuaian perlu ditindaklanjuti melalui analisis akar masalah untuk memperkuat second line of defense dan mencegah berulangnya kesalahan.
3.	KPPN perlu melakukan analisis anomali belanja berdasarkan data historis satker sebagai bagian dari proses pengendalian, misalnya namun tidak terbatas pada:
a.	memeriksa konsistensi penyerapan belanja tunjangan kinerja (tukin);
b.	mengidentifikasi pola pengajuan tagihan yang tidak wajar;
c.	membandingkan deviasi realisasi terhadap pola belanja tahun sebelumnya,</t>
  </si>
  <si>
    <t>1.	PMK Nomor 171/PMK.01/2021 tentang Pelaksanaan Sistem SAKTI sebagaimana telah diubah dengan PMK Nomor 158 Tahun 2023 tentang Perubahan atas PMK Nomor 171/PMK.05/2021 tentang Pelaksanaan Sistem SAKTI.
2.	PMK Nomor 62 Tahun 2023 tentang Perencanaan Anggaran, Pelaksanaan Anggaran, serta Akuntansi dan Pelaporan Keuangan sebagaimana telah diubah dengan PMK Nomor 107 Tahun 2024 tentang Perubahan Atas PMK Nomor.
3.	Perdirjen Perbendaharaan Nomor PER-7/PB/2023 tentnag Petunjuk Teknis Pelaksanaan Belanja Pegawai dan Belanja Operasional dalam Piloting Pembayaran dalam rangka Pelaksanaan APBN melalui PPP.
4.	Kepdirjen Perbendaharaan Nomor KEP-57/PB/2023 tentang Standar Pelayanan DJPb.
5.	Kepdirjen Perbendaharaan Nomor KEP-244/PB/PB.1/2023 tentang Standar Operasional Prosedur pada KPPN sebagaimana diubah dengan Kepdirjen Perbendaharaan Nomor KEP-116/PB/PB.1/2024 tentang Perubahan atas Kepdirjen Perbendaharaan Nomor KEP-244/PB/PB.1/2023 tentang Standar Operasional Prosedur pada KPPN.
6.	Kepdirjen Perbendaharaan Nomor KEP-7/PB/2026 tentang Implementasi Simplifikasi Pembayaran Tagihan Belanja atas Beban APBN</t>
  </si>
  <si>
    <t xml:space="preserve">Ada/Tidaknya Temuan dalam Pelaksanaan Uji Sampel </t>
  </si>
  <si>
    <t>PB03_Pelaksanaan SOP Penerbitan SP2D.pdf</t>
  </si>
  <si>
    <t>Ketepatan Waktu Penyelesaian Tagihan</t>
  </si>
  <si>
    <t>Penilaian dilakukan berdasarkan ketepatan waktu persetujuan tagihan oleh Kepala Seksi PD/PDMS dalam proses penerbitan SP2D sesuai Tata Cara Pembayaran APBN.
- Nilai 10 
Persetujuan dilakukan ≤ 30 menit sejak ADK SPM diproses dalam SPAN; keterlambatan yang disebabkan gangguan sistem/force majeure wajib disertai Berita Acara Penyelesaian Keterlambatan
- Nilai 0
Persetujuan tagihan dilakukan &gt;30 menit tanpa disertai Berita Acara Penyelesaian Keterlambatan.</t>
  </si>
  <si>
    <t>1. Ketepatan waktu penerbitan SP2D mencerminkan efektivitas layanan dan kepatuhan SOP.
2. BA Penyelesaian Keterlambatan wajib digunakan sebagai bukti formal apabila terjadi gangguan teknis.</t>
  </si>
  <si>
    <t>1. PMK Nomor 107 Tahun 2024 tentang Perubahan atas PMK Nomor 62 Tahun 2023 tentang Perencanaan Anggaran, Pelaksanaan Anggaran, serta Akuntansi dan Pelaporan Keuangan
2. Kepdirjen Perbendaharaan Nomor KEP-244/PB/PB.1/2023 tentang Standar Operasional Prosedur pada KPPN sebagaimana diubah dengan Kepdirjen Perbendaharaan Nomor KEP-116/PB/PB.1/2024 tentang Perubahan atas Kepdirjen Perbendaharaan Nomor KEP-244/PB/PB.1/2023 tentang Standar Operasional Prosedur pada KPPN.
3. Kepdirjen Perbendaharaan Nomor KEP-7/PB/2026 tentang Implementasi Simplifikasi Pembayaran Tagihan Belanja atas Beban APBN</t>
  </si>
  <si>
    <t>- Monitoring Penyelesaian SP2D pada My Intress
- Berita Acara Penyelesaian Keterlambatan</t>
  </si>
  <si>
    <t>PB04_Monitoring Durasi Penyelesaian SP2D</t>
  </si>
  <si>
    <t>Tindak lanjut atas Retur SP2D 
*) Retur TKD dikecualikan dalam perhitungan</t>
  </si>
  <si>
    <t>Pengukuran dilakukan menggunakan data MyIntress dengan formula:
(∑(Retur diproses&gt;8 Hari Kerja)/(∑(transaksi retur)  x 100%
- Nilai 10
Hasil perhitungan menunjukkan angka ≤ 3%.
- Nilai 7
Hasil perhitungan menunjukkan angka antara 3%–5%.
- Nilai 0
Hasil perhitungan menunjukkan angka &gt; 5%.</t>
  </si>
  <si>
    <t>1. Penyelesaian retur ≤ 3% menunjukkan efektivitas pengendalian dan ketepatan proses penyelesaian dana.
2. KPPN wajib mengidentifikasi akar penyebab retur (rekening invalid, akun salah, data ganda) dan melakukan upaya pencegahan berulang.
3. Monitoring retur melalui MyIntress merupakan mekanisme deteksi dini risiko kesalahan pembayaran.</t>
  </si>
  <si>
    <t>1. PMK Nomor 188/PMK.05/2017 tentang Tata Cara Penyaluran Dana Surat Perintah Pencairan Dana Melalui Sistem Perbendaharaan dan Anggaran Negara sebagaimana diubah dengan PMK Nomor 158/PMK.05/2022 tentang Perubahan Kedua atas PMK Nomor 188/PMK.05/2017 tentang Tata Cara Penyaluran Dana Surat Perintah Pencairan Dana Melalui Sistem Perbendaharaan dan Anggaran Negara. 
2. Perdirjen Perbendaharaan Nomor PER-9/PB/2018 tentang Tata Cara Penyelesaian Retur Surat Perintah Pencairan Dana (SP2D).
3. Kepdirjen Perbendaharaan Nomor KEP-57/PB/2023 tentang Standar Pelayanan DJPb.
4. Kepdirjen Perbendaharaan Nomor KEP-244/PB/PB.1/2023 tentang Standar Operasional Prosedur pada KPPN sebagaimana diubah dengan Kepdirjen Perbendaharaan Nomor KEP-116/PB/PB.1/2024 tentang Perubahan atas Kepdirjen Perbendaharaan Nomor KEP-244/PB/PB.1/2023 tentang Standar Operasional Prosedur pada KPPN.
5. Kepdirjen Perbendaharaan Nomor KEP-7/PB/2026 tentang Implementasi Simplifikasi Pembayaran Tagihan Belanja atas Beban APBN</t>
  </si>
  <si>
    <t>- Tangkapan Layar monitoring retur Myintres
- Hasil perhitungan</t>
  </si>
  <si>
    <t>PB05_Monitoring Retur SP2D</t>
  </si>
  <si>
    <t>Kesesuaian Prosedur Penerbitan SP2B BLU</t>
  </si>
  <si>
    <t>Penilaian berdasarkan uji sampling terhadap 3 penerbitan SP2B BLU untuk menilai kepatuhan terhadap SOP pengesahan belanja BLU.
- Nilai 10
Tidak ditemukan ketidaksesuaian terhadap prosedur dalam SOP Penerbitan SP2B BLU.
- Nilai 0
Ditemukan ketidaksesuaian terhadap prosedur dalam SOP Penerbitan SP2B BLU.</t>
  </si>
  <si>
    <t>1. SP2B BLU wajib diterbitkan sesuai SOP untuk menjaga akuntabilitas dan ketertiban pengesahan belanja BLU.
2. Verifikasi dokumen harus dilakukan secara cermat untuk memperkuat pengendalian intern dan akurasi laporan keuangan BUN.</t>
  </si>
  <si>
    <t>1. Perdirjen Perbendaharaan Nomor PER-2/PB/2015 tentang Perubahan atas Perdirjen Nomor PER-30/PB/2011 tentang Mekanisme Pengesahan Pendapatan dan Belanja Satuan Kerja Badan Layanan Umum.
2. Kepdirjen Perbendaharaan Nomor KEP-57/PB/2023 tentang Standar Pelayanan DJPb.
3. Kepdirjen Perbendaharaan Nomor KEP-244/PB/PB.1/2023 tentang Standar Operasional Prosedur pada KPPN sebagaimana diubah dengan Kepdirjen Perbendaharaan Nomor KEP-116/PB/PB.1/2024 tentang Perubahan atas Kepdirjen Perbendaharaan Nomor KEP-244/PB/PB.1/2023 tentang Standar Operasional Prosedur pada KPPN.</t>
  </si>
  <si>
    <t>- Dokumen sampling penerbitan SP2B BLU
- Dokumen temuan ketidaksesuaian proses bisnis dengan SOP (apabila ada temuan)</t>
  </si>
  <si>
    <t>PB06_Prosedur Penerbitan SP2B BLU.pdf</t>
  </si>
  <si>
    <t>Kesesuaian prosedur penerbitan MPHL-BJS, SPHL, dan SP3HL</t>
  </si>
  <si>
    <t>Penilaian dilakukan melalui uji sampling atas 10 penerbitan masing-masing dokumen untuk menilai kepatuhan terhadap SOP dan kelengkapan dokumen pengesahan hibah langsung.
- Nilai 10
Tidak ditemukan ketidaksesuaian dalam pelaksanaan SOP Penerbitan MPHL-BJS.
- Nilai 0
Ditemukan ketidaksesuaian dalam pelaksanaan SOP Penerbitan MPHL-BJS.</t>
  </si>
  <si>
    <t>1. Kepatuhan SOP penerbitan MPHL BJS/SP3HL/SPHL mencerminkan transparansi dan akuntabilitas pengelolaan hibah.
2. KPPN wajib memastikan validitas dokumen sumber sebelum pengesahan untuk menjamin keandalan laporan BUN.
3. Verifikasi harus mengikuti prinsip ketertiban administrasi dan pencegahan kesalahan material.</t>
  </si>
  <si>
    <t>1. PMK Nomor 99/PMK.05/2017 tentang Administrasi Pengelolaan Hibah.
2. Kepdirjen Perbendaharaan Nomor KEP-57/PB/2023 tentang Standar Pelayanan DJPb.
3. Kepdirjen Perbendaharaan Nomor KEP-244/PB/PB.1/2023 tentang Standar Operasional Prosedur pada KPPN sebagaimana diubah dengan Kepdirjen Perbendaharaan Nomor KEP-116/PB/PB.1/2024 tentang Perubahan atas Kepdirjen Perbendaharaan Nomor KEP-244/PB/PB.1/2023 tentang Standar Operasional Prosedur pada KPPN.</t>
  </si>
  <si>
    <t>- Dokumen sampling penerbitan MPHL-BJS
- Dokumen temuan ketidaksesuaian proses bisnis dengan SOP (apabila ada temuan)</t>
  </si>
  <si>
    <t>PB07_Pelaksanaan SOP Penerbitan MPHL-BJS.pdf</t>
  </si>
  <si>
    <t>C. Pengelolaan Data Kontrak dan Data Supplier</t>
  </si>
  <si>
    <r>
      <t xml:space="preserve">Pengelolaan Data </t>
    </r>
    <r>
      <rPr>
        <i/>
        <sz val="11"/>
        <color theme="1"/>
        <rFont val="Aptos Narrow"/>
        <family val="2"/>
        <scheme val="minor"/>
      </rPr>
      <t>Supplier</t>
    </r>
  </si>
  <si>
    <r>
      <t xml:space="preserve">Penilaian dilakukan berdasarkan 5 (lima) uji sampling pendaftaran data supplier, 5 (lima) uji sampling perubahan data supplier, dan 5 (lima) uji sampling penonaktifan data supplier untuk menilai kepatuhan prosedur dan validitas data dalam sistem pembayaran.
</t>
    </r>
    <r>
      <rPr>
        <b/>
        <sz val="11"/>
        <color theme="1"/>
        <rFont val="Aptos Narrow"/>
        <family val="2"/>
        <scheme val="minor"/>
      </rPr>
      <t>- Nilai 10</t>
    </r>
    <r>
      <rPr>
        <sz val="11"/>
        <color theme="1"/>
        <rFont val="Aptos Narrow"/>
        <family val="2"/>
        <scheme val="minor"/>
      </rPr>
      <t xml:space="preserve">
KPPN melakukan pendaftaran, perubahan, dan penonaktifan data supplier sesuai dengan SOP.
</t>
    </r>
    <r>
      <rPr>
        <b/>
        <sz val="11"/>
        <color theme="1"/>
        <rFont val="Aptos Narrow"/>
        <family val="2"/>
        <scheme val="minor"/>
      </rPr>
      <t xml:space="preserve">- Nilai 0
</t>
    </r>
    <r>
      <rPr>
        <sz val="11"/>
        <color theme="1"/>
        <rFont val="Aptos Narrow"/>
        <family val="2"/>
        <scheme val="minor"/>
      </rPr>
      <t>Ditemukan ketidaksesuaian dalam proses pendaftaran, perubahan, dan penonaktifan data supplier sesuai dengan SOP.</t>
    </r>
  </si>
  <si>
    <t>1. Pendaftaran supplier harus dilakukan sesuai prosedur dan diverifikasi kebenarannya oleh petugas KPPN sebelum aktif di sistem pembayaran.
2. KPPN wajib memastikan kebenaran data supplier yang didaftarkan ke KPPN oleh Satker.
3. Kepatuhan prosedur pendaftaran supplier mencegah risiko pembayaran tidak sah dan memperkuat integritas data pada sistem SPAN/SAKTI.</t>
  </si>
  <si>
    <t>1. PMK Nomor 154/PMK.05/2014 tentang Pelaksanaan Sistem Perbendaharaan dan Anggaran Negara sebagaimana telah diubah dengan PMK Nomor 278/PMK.05/2014 tentang Perubahan atas PMK Nomor 154/PMK.05/2014 tentang Pelaksanaan Sistem Perbendaharaan dan Anggaran Negara.
2. PMK Nomor 171/PMK.05/2021 tentang Pelaksanaan Sistem SAKTI.
3. Perdirjen Perbendaharaan Nomor PER-58/PB/2013 tentang Pengelolaan Data Supplier dan Data Kontrak dalam SPAN.
4. Perdirjen Perbendaharaan Nomor PER-58/PB/2013 tentang Pengelolaan Data Supplier dan Data Kontrak dalam SPAN.
5. Kepdirjen Perbendaharaan Nomor KEP-57/PB/2023 tentang Standar Pelayanan DJPb.
6. Kepdirjen Perbendaharaan Nomor KEP-244/PB/PB.1/2023 tentang Standar Operasional Prosedur pada KPPN sebagaimana diubah dengan Kepdirjen Perbendaharaan Nomor KEP-116/PB/PB.1/2024 tentang Perubahan atas Kepdirjen Perbendaharaan Nomor KEP-244/PB/PB.1/2023 tentang Standar Operasional Prosedur pada KPPN.</t>
  </si>
  <si>
    <t>- Dokumen sampling pendaftaran supplier
- Dokumen temuan ketidaksesuaian proses bisnis dengan SOP (apabila ada temuan)</t>
  </si>
  <si>
    <t>PB08_Dokumen Pengelolaan Data Supplier.pdf</t>
  </si>
  <si>
    <t xml:space="preserve">Monitoring Penonaktifan Data Pegawai dan Data Supplier
</t>
  </si>
  <si>
    <t>Penilaian dilakukan berdasarkan 5 (lima) uji sampling penerbitan SKPP untuk memastikan penonaktifan data pegawai dan supplier yang sudah tidak aktif. 
- Nilai 10
Seluruh data pegawai dan supplier telah dinonaktifkan sesuai dengan penerbitan SKPP.
- Nilai 0
Terdapat data pegawai dan/atau supplier yang masih aktif setelah penerbitan SKPP.</t>
  </si>
  <si>
    <t>1. SKPP harus diikuti dengan penonaktifan data pegawai dan supplier terkait untuk mencegah potensi pembayaran tidak sah atau ganda.
2. KPPN melakukan pengecekan status data pada sistem untuk memastikan penonaktifan telah dilakukan.</t>
  </si>
  <si>
    <t>1. PMK Nomor 154/PMK.05/2014 tentang Pelaksanaan Sistem Perbendaharaan dan Anggaran Negara sebagaimana telah diubah dengan PMK Nomor 278/PMK.05/2014 tentang Perubahan atas PMK Nomor 154/PMK.05/2014 tentang Pelaksanaan Sistem Perbendaharaan dan Anggaran Negara.
2. PMK Nomor 171/PMK.05/2021 tentang Pelaksanaan Sistem SAKTI.
3. Perdirjen Perbendaharaan Nomor PER-58/PB/2013 tentang Pengelolaan Data Supplier dan Data Kontrak dalam SPAN.
4. Kepdirjen Perbendaharaan Nomor KEP-244/PB/PB.1/2023 tentang Standar Operasional Prosedur pada KPPN sebagaimana diubah dengan Kepdirjen Perbendaharaan Nomor KEP-116/PB/PB.1/2024 tentang Perubahan atas Kepdirjen Perbendaharaan Nomor KEP-244/PB/PB.1/2023 tentang Standar Operasional Prosedur pada KPPN.</t>
  </si>
  <si>
    <t>- Monitoring Penerbitan SKPP
- Tangkapan layar data pegawai dan data supplier yang aktif pada Aplikasi Gaji KPPN</t>
  </si>
  <si>
    <t>PB09_Monitoring Penerbitan SKPP.pdf</t>
  </si>
  <si>
    <t>Pengelolaan Data Kontrak</t>
  </si>
  <si>
    <t>Penilaian dilakukan berdasarkan 5 (lima) uji sampling pendaftaran data kontrak dan 5 (lima) uji sampling perubahan data kontrak untuk menilai kelengkapan dokumen dan kepatuhan terhadap ketentuan.
- Nilai 10
Seluruh data kontrak dan perubahan kontrak memiliki dokumen pendukung yang lengkap dan sesuai ketentuan.
- Nilai 0
Tidak terdapat kelengkapan dokumen pendukung pada pendaftaran atau perubahan data kontrak.</t>
  </si>
  <si>
    <t>1. Pendaftaran dan perubahan data kontrak dilakukan sesuai SOP dan disertai dokumen pendukung yang lengkap dan sah
2. KPPN memastikan kelengkapan dokumen untuk menjamin keandalan data kontrak dalam proses pengujian SPM dan penerbitan SP2D.</t>
  </si>
  <si>
    <t>1. PMK Nomor 154/PMK.05/2014 tentang Pelaksanaan Sistem Perbendaharaan dan Anggaran Negara (SPAN).
2. Perdirjen Perbendaharaan Nomor PER-58/PB/2013 tentang Pengelolaan Data Supplier dan Data Kontrak dalam SPAN.
3. Kepdirjen Perbendaharaan Nomor KEP-57/PB/2023 tentang Standar Pelayanan DJPb.
4. Kepdirjen Perbendaharaan Nomor KEP-244/PB/PB.1/2023 tentang Standar Operasional Prosedur pada KPPN sebagaimana diubah dengan Kepdirjen Perbendaharaan Nomor KEP-116/PB/PB.1/2024 tentang Perubahan atas Kepdirjen Perbendaharaan Nomor KEP-244/PB/PB.1/2023 tentang Standar Operasional Prosedur pada KPPN.
5. Kepdirjen Perbendaharaan Nomor KEP-7/PB/2026 tentang Implementasi Simplifikasi Pembayaran Tagihan Belanja atas Beban APBN</t>
  </si>
  <si>
    <t>Resume kontrak, karwas kontrak, dan Surat Permohonan sesuai format dalam Per-58/PB/2013  atau addendum aplikasi</t>
  </si>
  <si>
    <t>PB10_Dokumen Pengelolaan Data Kontrak.pdf</t>
  </si>
  <si>
    <t>D. Digitalisasi Pembayaran</t>
  </si>
  <si>
    <t>Penggunaan KKP</t>
  </si>
  <si>
    <t>Penilaian berdasarkan tren penggunaan Kartu Kredit Pemerintah (KKP) oleh satker lingkup KPPN selama satu semester pada periode pembinaan.
- Nilai 10
Tren penggunaan KKP meningkat dalam satu semester selama periode pembinaan.
- Nilai 7
Tren penggunaan KKP fluktuatif dalam satu semester selama periode pembinaan.
- Nilai 5
Tren penggunaan KKP menurun dalam satu semester selama periode pembinaan.</t>
  </si>
  <si>
    <t>1. Peningkatan tren penggunaan KKP mencerminkan keberhasilan digitalisasi pembayaran dan peningkatan efisiensi pengelolaan kas;
2. KPPN memastikan pemahaman satker terkait manfaat dan prosedur KKP serta melakukan pembinaan bagi satker dengan tingkat penggunaan KKP yang rendah.</t>
  </si>
  <si>
    <t>1. PMK Nomor 196/PMK.05/2018 tentang Tata Cara Pembayaran dan Penggunaan Kartu Kredit Pemerintah sebagaimana diubah dengan PMK Nomor 97/PMK.05/2021 tentang Perubahan atas Peraturan Menteri Keuangan Nomor 196/PMK.05/2018 Tentang Tata Cara Pembayaran dan Penggunaan Kartu Kredit Pemerintah.
2. Kepdirjen Perbendaharaan Nomor KEP-244/PB/PB.1/2023 tentang Standar Operasional Prosedur pada KPPN sebagaimana diubah dengan Kepdirjen Perbendaharaan Nomor KEP-116/PB/PB.1/2024 tentang Perubahan atas Kepdirjen Perbendaharaan Nomor KEP-244/PB/PB.1/2023 tentang Standar Operasional Prosedur pada KPPN.</t>
  </si>
  <si>
    <t>Hasil monitoring realisasi KKP pada Myintress</t>
  </si>
  <si>
    <t>PB11_Monitoring Transaksi KKP.zip</t>
  </si>
  <si>
    <t>Penggunaan CMS Rekening Virtual (VA)</t>
  </si>
  <si>
    <t>Penilaian berdasarkan tren penggunaan CMS atas Rekening Virtual (VA) satker aktif selama satu semester pada periode pembinaan.
- Nilai 10
Tren penggunaan CMS meningkat dalam satu semester selama periode pembinaan.
- Nilai 7
Tren penggunaan CMS fluktuatif dalam satu semester selama periode pembinaan.
- Nilai 5
Tren penggunaan CMS menurun dalam satu semester selama periode pembinaan.</t>
  </si>
  <si>
    <t>1. Tren peningkatan penggunaan CMS mencerminkan keberhasilan implementasi digitalisasi pembayaran nontunai (cashless) dan efisiensi pengelolaan kas pemerintah;
2. KPPN perlu memastikan satker memahami manfaat dan prosedur penggunaan CMS serta melakukan pembinaan terhadap satker dengan tingkat pemanfaatan CMS yang masih rendah.</t>
  </si>
  <si>
    <t>Peraturan Menteri Keuangan Nomor 183/PMK.05/2019 tentang Pengelolaan Rekening Pengeluaran Milik Kementerian Negara/Lembaga</t>
  </si>
  <si>
    <t>Hasil monitoring penggunaan CMS yang diperoleh dari Dashboard Bank Mitra Pengelola VA</t>
  </si>
  <si>
    <t>PB12_Rekap Penggunaan CMS Rekening Virtual Triwulan I 2026</t>
  </si>
  <si>
    <t xml:space="preserve">E. Pelaksanaan dan Monitoring Uang Persediaan (UP)/Tambahan Uang Persediaan (TUP) </t>
  </si>
  <si>
    <t>Kepatuhan Penyetoran Sisa UP/TUP Akhir Tahun Anggaran</t>
  </si>
  <si>
    <t>Penilaian dilakukan berdasarkan hasil monitoring melalui Aplikasi MyIntress dan konfirmasi kepada KPPN mengenai kepatuhan satker dalam menyetor sisa UP/TUP.
Ruang lingkup:
a. Semester I – menilai penyetoran sisa UP/TUP tahun anggaran sebelumnya.
b. Semester II – menilai sisa UP/TUP yang belum disetor pada Semester I.
Pengecualian:
UP/TUP valas pada Satker Perwakilan/Atase Teknis LN dan UP/TUP Pengembalian PPN Turis Asing pada Satker KPP.
Pembinaan Semester I
- Nilai 10
Seluruh sisa UP/TUP telah disetor sebelum batas akhir tahun anggaran sebelumnya.
- Nilai 0
Terdapat sisa UP/TUP yang disetor melewati batas akhir tahun anggaran sebelumnya.
Pembinaan Semester II
- Nilai 10
sisa UP/TUP yang belum disetor telah diselesaikan pada Semester I tahun berjalan; atau tidak terdapat keterlambatan penyetoran
- Nilai 0
Terdapat sisa UP/TUP tahun sebelumnya disetor melewati periode pembinaan Semester I.</t>
  </si>
  <si>
    <t xml:space="preserve">1. Sisa UP/TUP wajib disetor ke Kas Negara sebelum batas akhir tahun anggaran untuk menjaga akuntabilitas pengelolaan kas pemerintah.
2. KPPN memastikan monitoring kepatuhan satker dilakukan melalui Aplikasi MyIntress dan hasilnya menjadi dasar pembinaan terhadap satker yang terlambat menyetor. </t>
  </si>
  <si>
    <t>1. PMK Nomor 188/PMK.05/2021 tentang Tata Cara Pembayaran atas Pengembalian Penerimaan Negara.
2. Kepdirjen Perbendaharaan Nomor KEP-244/PB/PB.1/2023 tentang Standar Operasional Prosedur pada KPPN sebagaimana diubah dengan Kepdirjen Perbendaharaan Nomor KEP-116/PB/PB.1/2024 tentang Perubahan atas Kepdirjen Perbendaharaan Nomor KEP-244/PB/PB.1/2023 tentang Standar Operasional Prosedur pada KPPN.</t>
  </si>
  <si>
    <t>Monitoring setoran UP/TUP tahun anggaran berjalan</t>
  </si>
  <si>
    <t>PB13_Karwas UP Per Satker
Dokumen bukti setor penihilan telah diupload</t>
  </si>
  <si>
    <t>Penerbitan Surat Pemberitahuan/
Teguran Pengajuan Penggantian Uang Persediaan</t>
  </si>
  <si>
    <t>Penilaian dilakukan melalui uji sampling terhadap 10 satker yang tidak melakukan revolving UP setiap bulan, untuk memastikan kepatuhan KPPN dalam menerbitkan surat pemberitahuan penggantian UP.
- Nilai 10
KPPN menerbitkan seluruh surat pemberitahuan kepada satker yang tidak mengajukan penggantian UP dalam waktu 2 bulan sejak SP2D-UP terbit.
- Nilai 0
KPPN tidak menerbitkan surat pemberitahuan penggantian UP kepada satker yang tidak mengajukan penggantian UP dalam 2 bulan sejak SP2D-UP terbit.</t>
  </si>
  <si>
    <t>1. Surat pemberitahuan berfungsi sebagai mekanisme kontrol awal untuk menjaga ketersediaan dana operasional satker.
2. KPPN melakukan pembinaan melalui penerbitan surat pemberitahuan kepada satker yang tidak melakukan penggantian UP sesuai ketentuan.
3. Penerbitan surat pemberitahuan menjadi bukti nyata pelaksanaan fungsi pembinaan dan pengawasan terhadap efektivitas penggunaan UP oleh satker.</t>
  </si>
  <si>
    <t>1. PMK Nomor 107 Tahun 2024 tentang Perubahan atas PMK Nomor 62 Tahun 2023 tentang Perencanaan Anggaran, Pelaksanaan Anggaran, serta Akuntansi dan Pelaporan Keuangan
2. Kepdirjen Perbendaharaan Nomor KEP-244/PB/PB.1/2023 tentang Standar Operasional Prosedur pada KPPN sebagaimana diubah dengan Kepdirjen Perbendaharaan Nomor KEP-116/PB/PB.1/2024 tentang Perubahan atas Kepdirjen Perbendaharaan Nomor KEP-244/PB/PB.1/2023 tentang Standar Operasional Prosedur pada KPPN.</t>
  </si>
  <si>
    <t>Surat Pemberitahuan Pengajuan Penggantian Uang Persediaan</t>
  </si>
  <si>
    <t xml:space="preserve">PB14_Surat Penggantian Uang Persediaan
</t>
  </si>
  <si>
    <t>F. Pengelolaan Rekening dan Penerimaan Negara</t>
  </si>
  <si>
    <t>Pengelolaan Rekening Satker</t>
  </si>
  <si>
    <t>Penilaian dilakukan melalui uji sampling atas 5 permohonan pembukaan dan 5 permohonan penutupan rekening satker untuk menilai kesesuaian proses dengan ketentuan yang berlaku.
- Nilai 10
Pembukaan dan penutupan rekening Satker dilakukan sesuai dengan ketentuan yang berlaku dan didukung dokumen persyaratan yang lengkap.
- Nilai 0
Pembukaan dan penutupan rekening Satker tidak sesuai ketentuan dan/atau tidak dilengkapi dokumen persyaratan yang lengkap.</t>
  </si>
  <si>
    <t>1. Pembukaan rekening oleh Satker harus memperoleh persetujuan dari Kementerian Keuangan sesuai prosedur.
2. KPPN memastikan kepatuhan satker terhadap ketentuan agar tidak terdapat rekening yang dibuka tanpa izin atau di luar ketentuan yang berlaku.</t>
  </si>
  <si>
    <t>1. PMK Nomor 182/PMK.05/2017 tentang Pengelolaan Rekening Milik Satuan Kerja Lingkup Kementerian Negara/Lembaga
2. PMK Nomor 183/PMK.05/2019 tentang Pengelolaan Rekening Pengeluaran Milik Kementerian Negara/Lembaga.
3. Kepdirjen Perbendaharaan Nomor KEP-244/PB/PB.1/2023 tentang Standar Operasional Prosedur pada KPPN sebagaimana diubah dengan Kepdirjen Perbendaharaan Nomor KEP-116/PB/PB.1/2024 tentang Perubahan atas Kepdirjen Perbendaharaan Nomor KEP-244/PB/PB.1/2023 tentang Standar Operasional Prosedur pada KPPN.</t>
  </si>
  <si>
    <t>- Dokumen sampling pembukaan rekening Satker 
- Dokumen temuan ketidaksesuaian proses bisnis dengan SOP (apabila ada temuan</t>
  </si>
  <si>
    <t>PB15_Pengelolaan Rekening Satker.zip</t>
  </si>
  <si>
    <t>Tindak Lanjut atas Kesalahan Data Penerimaan Negara yang Tercatat pada MyIntress</t>
  </si>
  <si>
    <t>Penilaian dilakukan terhadap langkah KPPN dalam menindaklanjuti kesalahan data penerimaan negara pada MyIntress, seperti kesalahan akun, satker, nominal, atau pemotongan.
- Nilai 10
Terdapat tindak lanjut yang lengkap dan didukung bukti yang memadai (misalnya surat pemberitahuan, klarifikasi kepada satker, atau dokumen koreksi).
- Nilai 0
Tidak terdapat upaya tindak lanjut atas kesalahan data penerimaan negara.</t>
  </si>
  <si>
    <t>1. KPPN wajib melakukan kontrol dan monitoring kesalahan data penerimaan negara secara proaktif melalui MyIntress;
2. Setiap kesalahan harus ditindaklanjuti dengan surat pemberitahuan resmi kepada Satker terkait dan didokumentasikan sebagai bukti tindak lanjut.</t>
  </si>
  <si>
    <t>Perdirjen Nomor PER-16/PB/2014 tentang tata Cara Koreksi Data Transaksi Keuangan pada SPAN.</t>
  </si>
  <si>
    <t>Data Monitoring My Intress</t>
  </si>
  <si>
    <t>PB16_Tindak Lanjut Atas Kesalahan Data Penerimaan.pdf</t>
  </si>
  <si>
    <t>G. Verifikasi LPJ Bendahara Satker</t>
  </si>
  <si>
    <t>Akuntabilitas LPJ Bendahara Satker</t>
  </si>
  <si>
    <t>Penilaian dilakukan sampling terhadap 10 pelaksanaan verifikasi LPJ Bendahara Satker oleh KPPN.
- Nilai 10
KPPN melaksanakan verifikasi LPJ Bendahara sesuai ketentuan SOP dengan seluruh dokumen pendukung lengkap.
- Nilai 0
KPPN tidak melaksanakan verifikasi LPJ Bendahara, atau verifikasi dilakukan namun tidak sesuai ketentuan SOP dan disertai dokumen pendukung yang tidak lengkap.</t>
  </si>
  <si>
    <t>1. KPPN wajib melaksanakan verifikasi LPJ Bendahara sesuai ketentuan SOP mengenai verifikasi LPJ Bendahara;
2. Verifikasi mencakup uji validitas dan kelengkapan dokumen LPJ untuk memastikan akuntabilitas dan keandalan pelaporan keuangan satker.</t>
  </si>
  <si>
    <t>1.	PMK Nomor 162/PMK.05/2013 tentang Kedudukan dan Tanggung Jawab Bendahara pada Satker Pengelola APBN sebagaimana telah diubah dengan PMK Nomor 230/PMK.05/2016.
2.	Perdirjen Nomor PER-3/PB/2014 tentang Petunjuk Teknis Penatausahaan, Pembukuaan, dan Pertanggungjawaban Bendahara pada Satuan Kerja Pengelola Anggaran Pendapatan dan Belanja Negara serta Verifikasi Laporan Pertanggungjawaban Bendahara.
3.	Perdirjen yang lain, yaitu PER-47/PB/2014 tentang Petunjuk Teknis Penatausahaan, Pembukuan, dan Pertanggungjawaban Bendahara pada BLU serta Verifikasi dan Monitoring LPJ Bendahara pada BLU.</t>
  </si>
  <si>
    <t>- Bukti penyelesaian verifikasi LPJ pada Aplikasi SAKTI.
- Dokumen temuan ketidaksesuaian proses bisnis (apabila ada).</t>
  </si>
  <si>
    <t>PB17_Akuntabilitas LPJ Satker.pdf</t>
  </si>
  <si>
    <t>Ketepatan Waktu Penyampaian LPJ Bendahara</t>
  </si>
  <si>
    <t>Penilaian dilakukan berdasarkan uji sampling LPJ Bendahara selama tiga bulan untuk menilai ketepatan waktu penyampaian LPJ oleh satker kepada KPPN.
- Nilai 10
Seluruh LPJ Bendahara disampaikan ke KPPN paling lambat tanggal 10 setiap bulan.
- Nilai 5
Terdapat LPJ Bendahara disampaikan ke KPPN pada tanggal 11–15 setiap bulan.
- Nilai 0
Terdapat LPJ Bendahara disampaikan ke KPPN lebih dari tanggal 15 setiap bulan.</t>
  </si>
  <si>
    <t>1. KPPN memonitor ketepatan waktu penyampaian LPJ Bendahara sebagai indikator kedisiplinan dan kepatuhan satker dalam pertanggung-jawaban keuangan.
2. Ketepatan waktu penyampaian LPJ mencerminkan efektivitas pembinaan dan pengendalian internal yang dilakukan KPPN terhadap satker.</t>
  </si>
  <si>
    <t>Bukti Monitoring Penyampaian LPJ Satker pada Aplikasi SAKTI/ MONSAKTI</t>
  </si>
  <si>
    <t>PB18_Monitoring LPJ Satker
Data dukung dengan penyajian ketepatan waktu penyampaian LPJ telah diupload</t>
  </si>
  <si>
    <t>H. Akuntabilitas Pelaporan Keuangan</t>
  </si>
  <si>
    <t xml:space="preserve">Upaya Tindak Lanjut Penyelesaian To Do List Kualitas Data Laporan Keuangan
</t>
  </si>
  <si>
    <t xml:space="preserve">Penilaian dilakukan berdasarkan hasil monitoring To Do List pada MyIntress untuk mengukur ketepatan dan efektivitas tindak lanjut KPPN.
- Nilai 10
KPPN menindaklanjuti seluruh to do list kualitas data laporan keuangan dengan bukti pembinaan atau klarifikasi yang memadai
- Nilai 7
KPPN menindaklanjuti sebagian to do list kualitas data laporan keuangan dengan bukti pembinaan atau klarifikasi yang memadai.
- Nilai 0
KPPN tidak menindaklanjuti to do list kualitas data laporan keuangan yang tercatat pada Aplikasi MyIntress. </t>
  </si>
  <si>
    <t xml:space="preserve">1. KPPN wajib melakukan tindak lanjut terhadap seluruh to do list kualitas data laporan keuangan yang muncul pada Aplikasi MyIntress.
2. Tindak lanjut yang dilakukan menjadi pengukuran efektivitas fungsi pengendalian kualitas data laporan keuangan satker oleh KPPN. </t>
  </si>
  <si>
    <t>PMK Nomor 107 Tahun 2024 tentang Perubahan atas PMK Nomor 62 Tahun 2023 tentang Perencanaan Anggaran, Pelaksanaan Anggaran, serta Akuntansi dan Pelaporan Keuangan</t>
  </si>
  <si>
    <t>- Bukti Monitoring to do list pada Aplikasi My Intress
- Bukti tindak lanjut atas to do list (contoh: surat pemberitahuan ke Satker)</t>
  </si>
  <si>
    <t>PB19_Monitoring Kepatuhan Satker Todolist.pdf</t>
  </si>
  <si>
    <t>Tindak Lanjut Hasil Analisis Data Transaksi Keuangan pada SPAN</t>
  </si>
  <si>
    <t>Penilaian dilakukan terhadap tindak lanjut KPPN atas anomali data transaksi keuangan pada SPAN
- Nilai 10
Tidak terdapat anomali, atau seluruh anomali telah ditindaklanjuti sehingga tidak muncul kembali sampai batas waktu analisis.
- Nilai 8
Anomali telah ditindaklanjuti oleh KPPN, tetapi belum diselesaikan oleh satker.
- Nilai 5
Anomali ditindaklanjuti oleh KPPN setelah batas waktu analisis tetapi masih dalam bulan berikutnya.
- Nilai 0
Tidak ada tindak lanjut, atau tindak lanjut dilakukan oleh KPPN lebih dari satu bulan dari akhir bulan terjadinya anomali.</t>
  </si>
  <si>
    <t>KPPN wajib menindaklanjuti anomali melalui verifikasi, klarifikasi, dan pemberian rekomendasi perbaikan kepada satker.</t>
  </si>
  <si>
    <t>Perdirjen nomor PER-56/PB/2016 tentang Pedoman Analisis Laporan Keuangan Unit Akuntansi Dan Pelaporan Keuangan Kuasa Bendahara Umum Negara Tingkat Kantor Pelayanan Perbendaharaan Negara dan Unit Akuntansi dan Pelaporan Keuangan Koordinator Kuasa Bendahara Umum Negara Tingkat Kantor Wilayah</t>
  </si>
  <si>
    <t>- Kertas kerja analisis
- ND/surat teguran/tindak lanjut</t>
  </si>
  <si>
    <t>PB20_Analisa SPAN 2026</t>
  </si>
  <si>
    <t>I. Sistem Keamanan Informasi dan Teknologi Perbendaharaan</t>
  </si>
  <si>
    <t>Kepatuhan Penggunaan User SPAN/SAKTI KPPN selaku BUN</t>
  </si>
  <si>
    <t>Penilaian dilakukan berdasarkan kesesuaian penerbitan Berita Acara Peminjaman User SPAN/SAKTI bagi pejabat/pegawai yang berhalangan (Plh/cuti). 
- Nilai 10
KPPN menerbitkan Berita Acara Peminjaman User SPAN/SAKTI bagi pejabat atau pegawai yang berhalangan (Plh/cuti) sesuai ketentuan.
- Nilai 0
KPPN tidak menerbitkan Berita Acara Peminjaman User SPAN/SAKTI ketika terdapat pejabat atau pegawai user SPAN/SAKTI yang berhalangan.</t>
  </si>
  <si>
    <t>1. Setiap peminjaman user SPAN/SAKTI KPPN selaku BUN wajib disertai Berita Acara resmi untuk memastikan legalitas dan akuntabilitas penggunaan akses sistem.
2. Kepatuhan dalam penerbitan Berita Acara merupakan bentuk pengendalian internal untuk mencegah penyalahgunaan akses dan menjamin keamanan data keuangan negara.</t>
  </si>
  <si>
    <t>1. PMK Nomor 154/PMK.05/2014 tentang SPAN.
2. PMK Nomor 171/PMK.05/2021 tentang Pelaksanaan Sistem SAKTI.
3. Kepdirjen Nomor KEP-116/PB/PB.1/2024 tentang Perubahan atas Kepdirjen Nomor KEP-244/PB/PB.1/2023 tentang Standar Operasional Prosedur pada KPPN</t>
  </si>
  <si>
    <t>Berita Acara Peminjaman User SPAN dan/atau SAKTI</t>
  </si>
  <si>
    <t>PB21_Berita Acara Peminjaman dan ND Perubahan User SPAN.pdf</t>
  </si>
  <si>
    <t>Pendaftaran dan/atau Perubahan User SAKTI Satker lingkup KPPN</t>
  </si>
  <si>
    <t>Penilaian dilakukan berdasarkan sampling minimal 10% dari total permohonan pendaftaran/perubahan user SAKTI.
- Nilai 10
Seluruh sampel ditindaklanjuti dan dilengkapi dokumen sesuai ketentuan.
- Nilai 0
Seluruh sampel ditindaklanjuti tetapi dokumen tidak lengkap.</t>
  </si>
  <si>
    <t>1. Verifikasi terhadap permohonan user SAKTI memastikan keamanan akses sistem dan mencegah penyalahgunaan.
2. KPPN wajib memeriksa keabsahan dokumen termasuk form pendaftaran user, SK pengguna SAKTI, dan kelengkapan identitas pejabat.</t>
  </si>
  <si>
    <t>1. PMK Nomor 171/PMK.05/2021 tentang Pelaksanaan Sistem SAKTI.
2. Kepdirjen Nomor KEP-116/PB/PB.1/2024 tentang Perubahan atas Kepdirjen Nomor KEP-244/PB/PB.1/2023 tentang Standar Operasional Prosedur pada KPPN.</t>
  </si>
  <si>
    <t>Surat Permohonan Pendaftaran/ Perubahan User SAKTI</t>
  </si>
  <si>
    <t>PB22_Registrasi user sakti.zip</t>
  </si>
  <si>
    <t>Pendaftaran dan/atau Perubahan OTP Pejabat pada SAKTI Satker lingkup KPPN</t>
  </si>
  <si>
    <t>Penilaian dilakukan berdasarkan sampling minimal 10% permohonan pendaftaran/perubahan OTP SAKTI.
- Nilai 10
Seluruh sampling permohonan pendaftaran/ perubahan nomor telepon untuk keperluan OTP SAKTI telah ditindaklanjuti sesuai prosedur dan disertai dokumen persyaratan lengkap.
- Nilai 0
Seluruh sampling permohonan pendaftaran/ perubahan nomor telepon untuk keperluan OTP SAKTI telah ditindaklanjuti namun tidak disertai dokumen persyaratan lengkap.</t>
  </si>
  <si>
    <t>1. KPPN memastikan setiap permohonan pendaftaran atau perubahan nomor telepon OTP pejabat pada aplikasi SAKTI Satker diproses sesuai prosedur dan didukung dokumen lengkap.
2. Kelengkapan dokumen menjadi jaminan keabsahan identitas pengguna dan pencegahan potensi penyalahgunaan akses sistem.
3. KPPN berperan memastikan keamanan autentikasi sistem SAKTI melalui validasi data OTP pejabat Satker.</t>
  </si>
  <si>
    <t>1. PMK Nomor 171/PMK.05/2021 tentang Pelaksanaan Sistem SAKTI.
2. Kepdirjen Nomor KEP-116/PB/PB.1/2024 tentang Perubahan atas Kepdirjen Nomor KEP-244/PB/PB.1/2023 tentang Standar Operasional Prosedur pada KPPN</t>
  </si>
  <si>
    <t>Surat Permohonan Pendaftaran/ Perubahan OTP SAKTI oleh Satker Dokumen persyaratan</t>
  </si>
  <si>
    <t>PB23_ Form Aktivasi OTP.zip</t>
  </si>
  <si>
    <t>Pengelolaan Join Domain dan Keamanan Informasi Perangkat Pengguna</t>
  </si>
  <si>
    <t>Penilaian didasarkan pada kelengkapan administrasi dan kepatuhan terhadap standar keamanan perangkat atas uji sampling minimal 10% dari seluruh perangkat aktif:
- Nilai 10
Terdapat SK/Nota Dinas penunjukan PIC TIK tahun berjalan; seluruh perangkat aktif telah join domain dengan penamaan sesuai ketentuan; dan tersedia Formulir Penguatan Keamanan Informasi untuk seluruh sampling
- Nilai 0
Tidak terdapat SK/Nota Dinas PIC; terdapat perangkat yang belum join domain atau penamaannya tidak sesuai; atau formulir keamanan tidak tersedia.</t>
  </si>
  <si>
    <t>1. Setiap Perangkat TIK dan Perangkat Pengguna (PC, Laptop pada unit KPPN dan Kanwil) harus terdaftar pada sistem domain kemenkeu.go.id dan harus mengikuti struktur domain kemenkeu.go.id;
2. Pengguna dalam hal ini pegawai pada unit KPPN dan Kanwil memiliki tanggung jawab untuk menjaga keamanan informasi dalam penggunaan Perangkat Pengguna (PC dan/atau Laptop)</t>
  </si>
  <si>
    <t>1. KMK Nomor 411/KMK.01/2023 Tentang Keamanan Informasi, Keamanan Siber, dan Perlindungan Data Pribadi di Lingkungan Kementerian Keuangan.
2. Surat Edaran Nomor SE-19/MK.1/2018 Tentang Implemetasi Join Domain Perangkat Teknologi Informasi dan Komunikasi dan Perangkat Pengguna di Lingkungan Kementerian Keuangan.
3. Keputusan CIO Nomor 01/SA.8/2024 Tentang Manajemen Perangkat Teknologi Informasi dan Komunikasi di Lingkungan Kementerian Keuangan.
4. Peraturan Direktur Jenderal Perbendaharaan nomor PER-1/PB/2021 tentang Kebijakan Sistem Manajemen Keamanan Informasi di Lingkungan Direktorat Jenderal Perbendaharaan.</t>
  </si>
  <si>
    <t>- SK/Nota Dinas Penunjukkan PIC TIK pada Unit di tahun berjalan
- Screenshot Status Perangkat sudah Terjoin Domain
- Formulir Penguatan Keamanan Informasi</t>
  </si>
  <si>
    <t>PB24_SK Penunjukkan PIC TIK, SS Join Domain dan Form Penguatan Keamanan Informasi.pdf</t>
  </si>
  <si>
    <t>J. Penyaluran Transfer Ke Daerah (TKD)</t>
  </si>
  <si>
    <t>Penyaluran DAK Fisik dan Dana Desa</t>
  </si>
  <si>
    <t>Membandingkan data realisasi penyaluran DAK Fisik dan Dana Desa pada aplikasi MyIntress dengan ketentuan target penyaluran di setiap tahapan. 
- Nilai 10
Persentase realisasi sesuai ketentuan dengan deviasi ≤15%.
- Nilai 5
Persentase realisasi mendekati ketentuan dengan deviasi &gt;15% s.d. 25%.
- Nilai 0
Deviasi realisasi terhadap ketentuan lebih dari 25%.</t>
  </si>
  <si>
    <t>1. KPPN wajib memastikan pelaksanaan penyaluran DAK Fisik dan Dana Desa sesuai tahapan dan jadwal penyaluran yang ditetapkan.
2. Monitoring deviasi realisasi dilakukan untuk mengukur efektivitas koordinasi KPPN dengan Pemda serta kecepatan proses verifikasi dokumen penyaluran.
3. Deviasi ≤15% menunjukkan penyaluran yang sesuai ketentuan dan responsif terhadap target kinerja fiskal daerah</t>
  </si>
  <si>
    <t>1. PMK Nomor 198/PMK.07/ 2021 tentang DAK Fisik
2. PMK Nomor 108 Tahun 2024 tentang Dana Desa
3. Perdirjen Nomor PER-7/PB/2020 tentang Petunjuk Teknis Penyaluran DAK Fisik pada DJPb
4. Perdirjen Nomor PER-3/PB/2021 tentang Petunjuk Teknis Penyaluran Dana Desa pada DJPb</t>
  </si>
  <si>
    <t>Data realisasi penyaluan TKD pada Aplikasi MyIntress</t>
  </si>
  <si>
    <t>PB25_Penyaluran DAK Fisik dan Dana Desa.zip</t>
  </si>
  <si>
    <t>K. Pengelolaan Data Kredit Program di Daerah</t>
  </si>
  <si>
    <t>Ketepatan Data Debitur dan Penyaluran Umi</t>
  </si>
  <si>
    <t>Penilaian dilakukan berdasarkan kegiatan pencocokan data oleh KPPN terhadap data debitur yang tercatat dalam SIKP-UMi pada periode triwulan berjalan.
- Nilai 10
Pencocokan data dilakukan 100% terhadap seluruh data debitur dalam SIKP-UMi sebelum akhir periode triwulan.
- Nilai 5
Kegiatan pencocokan data oleh KPPN dilakukan 50%≤x&lt;100% terhadap data debitur yang muncul dalam SIKP-UMi sebelum akhir periode triwulan.
- Nilai 0
Kegiatan pencocokan data oleh KPPN berhasil dilakukan kurang dari 50% terhadap data debitur yang muncul dalam SIKP-UMi sebelum periode triwulan berkenaan berakhir.</t>
  </si>
  <si>
    <t>1. KPPN wajib melakukan koordinasi aktif dengan penyalur UMi untuk memperoleh data debitur secara lengkap dan tepat waktu.
2. Validasi dilakukan dengan mencocokkan dokumen penyalur (fisik/elektronik) dengan data yang tercatat dalam SIKP-UMi untuk menjaga akurasi penyaluran.
3. Apabila data tidak tersedia dari penyalur, KPPN harus melakukan pencatatan pada SIKP-UMi disertai keterangan yang jelas.
4. Tingkat pencocokan data mencerminkan keandalan akurasi pelaporan dan kualitas penyaluran UMi pada wilayah kerja KPPN.</t>
  </si>
  <si>
    <t>PMK Nomor 130/2024 tentang Pembiayaan Usaha Mikro, Kecil, dan Menengah pada Pusat Investasi Pemerintah.</t>
  </si>
  <si>
    <t>Data debitur UMi, data SIKP UMi, Konfirmasi dokumen tidak dapat diperoleh dari Penyalur (bila dokumen tidak dapat diperoleh).</t>
  </si>
  <si>
    <t>PB26_Ketepatan Data Debitur dan Penyaluran UMi.zip</t>
  </si>
  <si>
    <t>DUKUNGAN REGIONAL ECONOMIST</t>
  </si>
  <si>
    <t>A. Analisis dan Rekomendasi Permasalahan Satker APBN</t>
  </si>
  <si>
    <t>Analisis dan Rekomendasi KPPN terkait Implementasi Pelaksanaan Anggaran Satker APBN</t>
  </si>
  <si>
    <t>Penilaian dilakukan berdasarkan Laporan Analisis Kinerja Pelaksanaan Anggaran yang disusun Pejabat Fungsional PTPN untuk menilai kualitas analisis permasalahan dan rekomendasi KPPN. 
- Nilai 10
KPPN melakukan analisis menggunakan metode analisis tertentu, dengan dukungan data valid, serta menghasilkan rekomendasi yang implementatif dan relevan dengan isu yang dibahas.
- Nilai 5
KPPN melakukan analisis deskriptif sederhana berbasis data yang valid, serta menyampaikan rekomendasi implementatif yang sesuai dengan konteks permasalahan.
- Nilai 0
KPPN tidak melakukan analisis permasalahan atau tidak memberikan rekomendasi atas isu pelaksanaan anggaran yang dibahas.</t>
  </si>
  <si>
    <t>1. Analisis diarahkan untuk mengidentifikasi hambatan terhadap perencanaan anggaran belanja lingkup Satker.
2. Hasil analisis dan rekomendasi digunakan untuk pembinaan lanjutan kepada Satker dan sebagai masukan kebijakan (policy feedback), serta untuk mendukung peran Kanwil DJPb sebagai Regional Chief Economist (RCE).</t>
  </si>
  <si>
    <t>PMK Nomor 107 Tahun 2024 tentang Perubahan atas PMK Nomor 62 Tahun 2023 tentang Perencanaan Anggaran, Pelaktsanaan Anggaran, serta Akuntansi dan Pelaporan Keuangan</t>
  </si>
  <si>
    <t>Laporan Analisis Kinerja Pelaksanaan Anggaran Satker lingkup KPPN</t>
  </si>
  <si>
    <t xml:space="preserve">PB27_Kajian IKPA JF PTPN
Bukti dukung telah diupdate </t>
  </si>
  <si>
    <t>B. Analisis dan Rekomendasi Permasalahan Penyaluran Belanja TKD</t>
  </si>
  <si>
    <t xml:space="preserve">Analisa dan Rekomendasi KPPN terkait Tantangan Penyaluran Belanja TKD </t>
  </si>
  <si>
    <t>Penilaian dilakukan berdasarkan laporan monitoring dan evaluasi (monev) TKD yang disusun KPPN
- Nilai 10
KPPN melakukan analisis secara komprehensif, sekurang-kurangnya memuat permasalahan utama, akar masalah, serta alternatif solusi/rekomendasi, serta menyampaikan rekomendasi yang bersifat implementatif dan selaras dengan permasalahan yang dibahas.
- Nilai 5
KPPN melakukan analisis permasalahan secara sederhana dan tidak memenuhi salah satu unsur minimal (permasalahan utama atau akar masalah), serta menyampaikan rekomendasi yang kurang implementatif dan/atau tidak sepenuhnya menjawab permasalahan dalam laporan monev TKD.
- Nilai 0
KPPN tidak menyusun analisis permasalahan dan tidak memberikan rekomendasi atas isu penyaluran TKD.</t>
  </si>
  <si>
    <t>1. Analisis diarahkan untuk mengidentifikasi hambatan terhadap penyaluran TKD lingkup Pemda.
2. Hasil analisis dan rekomendasi digunakan untuk pembinaan lanjutan kepada Pemda dan sebagai masukan kebijakan (policy feedback), serta untuk mendukung peran Kanwil DJPb sebagai Regional Chief Economist (RCE).</t>
  </si>
  <si>
    <t>PMK Nomor 107 Tahun 2024 tentang Perubahan atas PMK Nomor 62 Tahun 2023 tentang Perencanaan Anggaran, Pelaktsanaan Anggaran, serta Akuntansi dan Pelaporan Keuangan.</t>
  </si>
  <si>
    <t>Laporan Monev TKD</t>
  </si>
  <si>
    <t>PB28_Laporan Monev TKD</t>
  </si>
  <si>
    <t>C. Analisis Data Penerimaan Dana PFK</t>
  </si>
  <si>
    <t>Penilaian Pelaksanaan Analisis dan Pelaporan Data Penerimaan Dana PFK Pegawai</t>
  </si>
  <si>
    <t>Penilaian dilakukan terhadap pelaksanaan analisis data PFK Pegawai pada OM SPAN serta ketepatan waktu penyampaian Laporan Hasil Analisis Data PFK Pegawai oleh KPPN.
- Nilai 10
Persentase tindak lanjut analisis &gt; 80% atau tidak ada data anomali dan laporan semesteran disampaikan tepat waktu.
- Nilai 7
Persentase tindak lanjut analisis 60% &lt; x ≤ 80% atau laporan disampaikan tidak tepat waktu.
- Nilai 0
Persentase tindak lanjut ≤ 60% atau laporan tidak disampaikan.</t>
  </si>
  <si>
    <t>1. KPPN menganalisis Data Penerimaan Dana PFK Pegawai yang terdapat dalam Aplikasi OM SPAN Modul Monitoring PFK untuk meningkatkan akurasi data.
2. Tindak lanjut konfirmasi kepada satuan kerja di wilayahnya menjadi indikator tanggung jawab KPPN dalam menjaga akurasi Data Penerimaan Dana PFK Pegawai.</t>
  </si>
  <si>
    <t>1. Peraturan Menteri Keuangan Nomor 156/PMK.05/2019 tentang Dana Perhitungan Fihak Ketiga sebagaimana telah diubah dengan Peraturan Menteri Keuangan 212/PMK.05/2020 tentang Peraturan Menteri Keuangan Nomor 156/PMK.05/2019 tentang Dana Perhitungan Fihak Ketiga.
2. Peraturan Direktorat Jenderal Perbendaharaan Nomor PER-33/PB/2017 tentang Petunjuk Pelaksanaan Analisis Dan Konsolidasi Data Penerimaan Dana Perhitungan Fihak Ketiga Pegawai Pada Instansi Vertikal Direktorat Jenderal Perbendaharaan.</t>
  </si>
  <si>
    <t>Data OMSPAN, Nota dinas, laporan, atau dokumentasi dalam bentuk lainnya.</t>
  </si>
  <si>
    <t>PB29_Laporan Monitoring PFK Semester II 2025</t>
  </si>
  <si>
    <t>D. Amplifikasi Dampak Treasury pada Perekonomian Daerah</t>
  </si>
  <si>
    <t>Amplifikasi Informasi Kebijakan Keuangan Negara melalui Sosial Media KPPN</t>
  </si>
  <si>
    <t>Berdasarkan informasi kebijakan keuangan negara yang diamplifikasi dari media publikasi resmi milik Kemenkeu dan/atau DJPb
- Nilai 10
KPPN mengamplifikasi informasi kebijakan keuangan negara di sosial medianya, paling sedikit 4 kali setiap bulan
- Nilai 5
KPPN mengamplifikasi informasi kebijakan keuangan negara di sosial medianya, kurang dari 4 kali setiap bulan
- Nilai 0
KPPN tidak pernah mengamplifikasi informasi kebijakan keuangan negara di sosial medianya setiap bulan</t>
  </si>
  <si>
    <t>1. Meningkatkan engagement dan literasi fiskal publik secara menarik dan interaktif.
2. Mendukung keseragaman pesan dan memperkuat citra institusi perbendaharaan</t>
  </si>
  <si>
    <t>PMK Nomor 110/PMK.01/2022 tentang Pedoman Layanan Informasi Publik Pejabat Pengelola Informasi dan Dokumentasi di Lingkungan Kementerian Keuangan</t>
  </si>
  <si>
    <r>
      <rPr>
        <i/>
        <sz val="11"/>
        <color rgb="FF000000"/>
        <rFont val="Aptos Narrow"/>
        <scheme val="minor"/>
      </rPr>
      <t>Screen shoot</t>
    </r>
    <r>
      <rPr>
        <sz val="11"/>
        <color rgb="FF000000"/>
        <rFont val="Aptos Narrow"/>
        <scheme val="minor"/>
      </rPr>
      <t xml:space="preserve"> penerusan informasi pada media social KPPN</t>
    </r>
  </si>
  <si>
    <t>PB30_Screenshot Penerusan Informasi pada Media Sosial KPPN Bukittinggi</t>
  </si>
  <si>
    <t>FINANCIAL ADVISORY</t>
  </si>
  <si>
    <r>
      <t xml:space="preserve">I. </t>
    </r>
    <r>
      <rPr>
        <b/>
        <i/>
        <sz val="11"/>
        <color theme="1"/>
        <rFont val="Aptos Narrow"/>
        <family val="2"/>
        <scheme val="minor"/>
      </rPr>
      <t>Central Government Advisory</t>
    </r>
  </si>
  <si>
    <r>
      <t xml:space="preserve">A. </t>
    </r>
    <r>
      <rPr>
        <b/>
        <i/>
        <sz val="11"/>
        <color theme="1"/>
        <rFont val="Aptos Narrow"/>
        <family val="2"/>
        <scheme val="minor"/>
      </rPr>
      <t>Quality Assurance</t>
    </r>
  </si>
  <si>
    <t>Upaya Percepatan Konversi Level Sertifikasi Kompetensi Pejabat Perbendaharaan</t>
  </si>
  <si>
    <t>Penilaian dilakukan terhadap langkah KPPN dalam mempercepat pemenuhan dan konversi level sertifikasi kompetensi Pejabat Perbendaharaan melalui kegiatan pembinaan dan pemberitahuan pelaksanaan sertifikasi kepada satker.
- Nilai 10
KPPN melakukan sosialisasi dan langkah-langkah percepatan konversi level sertifikasi kompetensi pejabat perbendaharaan.
- Nilai 5
KPPN melakukan pemberitahuan atas konversi level sertifikasi kompetensi pejabat perbendaharaan namun tidak melakukan kegiatan pendukung untuk percepatan konversi level sertifikasi kompetensi pejabat perbendaharaan (e.g. pembekalan tematik).
- Nilai 0
KPPN tidak melakukan pemberitahuan atas konversi level sertifikasi kompetensi pejabat perbendaharaan.</t>
  </si>
  <si>
    <t>1. KPPN wajib internalisasi dan percepatanuntuk melakukan konversi level sertifikasi kompetensi pejabat perbendaharaan.
2. Upaya aktif menjadi indikator peran advisory KPPN dalam meningkatkan kompetensi dan profesionalisme pengelola keuangan negara di Satker.
3. Peningkatan jumlah pejabat tersertifikasi mendukung tata kelola keuangan yang akuntabel</t>
  </si>
  <si>
    <t>1. PMK Nomor 211/PMK.05/2019 tentang Sertifikasi Bendahara, Pejabat Perbendaharaan, dan Pengelola APBN.
2. Perdirjen Perbendaharaan Nomor PER-22/PB/2020 tentang Petunjuk Teknis Pelaksanaan Sertifikasi Pejabat Perbendaharaan.
3. Kepdirjen Perbendaharaan Nomor KEP-32/PB/2024 tentang Program Penguatan Peran Kantor Pelayanan Perbendaharaan Negara Selaku Financial Advisory.</t>
  </si>
  <si>
    <t xml:space="preserve">Bukti upaya percepatan leveling sertifikasi kompetensi pejabat perbendaharaan (misalnya Surat, Undangan, Daftar Hadir, Monitoring Data Sertifikasi Pejabat Perbendaharaan)
</t>
  </si>
  <si>
    <t>PB31_Laporan Pelaksanaan Kegiatan Terkait Sertifikasi Pejabat Perbendaharaan</t>
  </si>
  <si>
    <t>Sertifikasi Kompetensi Pejabat Perbendaharaan</t>
  </si>
  <si>
    <t>Penilaian dilakukan terhadap tingkat persentase pejabat perbendaharaan Satker (PPK, PPSPM, Bendahara) lingkup KPPN yang telah memiliki sertifikat kompetensi, dengan formula:
(∑(Pejabat Perbendaharaan Satker telah tersertifikasi)/(∑(Seluruh Pejabat Perbendaharaan Satker Lingkup KPPN) x 100%
- Nilai 10
Hasil perhitungan menunjukkan persentase pejabat tersertifikasi ≤ 90%.
- Nilai 5
Hasil perhitungan menunjukkan persentase pejabat tersertifikasi antara 71%–89%.
- Nilai 0 
Hasil perhitungan
menunjukkan persentase pejabat tersertifikasi ≤ 70%.</t>
  </si>
  <si>
    <t>1. Tingkat pemenuhan sertifikasi mencerminkan kualitas pembinaan dan efektivitas koordinasi KPPN dengan satker dalam pelaksanaan sertifikasi pejabat perbendaharaan.
2. KPPN wajib memonitor dan memperbarui data pejabat tersertifikasi secara berkala melalui aplikasi sertifikasi dan komunikasi dengan satker.</t>
  </si>
  <si>
    <t>1. Data pejabat perbendaharaan tersertifikasi dan belum tersertifikasi (dari Aplikasi Sertifikasi Perbendaharaan atau monitoring KPPN).
2. Rekapitulasi hasil perhitungan tingkat pemenuhan sertifikasi pejabat perbendaharaan.</t>
  </si>
  <si>
    <t>PB32_Sertifikasi Kompetensi Pejabat Perbendaharaan</t>
  </si>
  <si>
    <t>Pembinaan implementasi Jabatan Fungsional Keuangan Negara Bidang Perbendaharaan</t>
  </si>
  <si>
    <t>Pelaksanaan monev dan penyelesaian tindak lanjut hasil monev atas implementasi JF Keuangan Negara Bidang Perbendaharaan pada satker mitra.
- Nilai 10
KPPN telah menyelesaikan monev dan menindaklanjuti hasil monev dengan memadai 
- Nilai 5
KPPN telah menyelesaikan monev namun belum menindaklanjuti hasil monev dengan memadai 
- Nilai 0 
KPPN belum menyelesaikan monitoring dan evaluasi</t>
  </si>
  <si>
    <t>KPPN wajib memastikan bahwa JF Keuangan Negara Bidang Perbendaharaan pada satuan kerja mitra telah memutakhirkan data pada aplikasi e-jafung</t>
  </si>
  <si>
    <t>1. PMK Nomor 163/PMK.05/2022 tentang Perubahan atas PMK Nomor 150/PMK.05/2019 tentang Juknis JF APK APBN.
2. PMK Nomor 162/PMK.05/2022 tentang Perubahan atas PMK Nomor 151/PMK.05/2019 tentang Juknis JF PK APBN.
3. Kepdirjen Perbendaharaan Nomor KEP-158/PB/2021 tentang Pelaksanaan Tugas Unit Pembina Teknis Jabatan Fungsional di Lingkungan Ditjen Perbendaharaan.</t>
  </si>
  <si>
    <t>Laporan hasil monev implementasi JF Keuangan Negara Bidang Perbendaharaan</t>
  </si>
  <si>
    <t>PB33_Status Tindak Lanjut Monev Atas Implementasi JF
Telah dilampirkan bukti tindak lanjut monev kepada satker</t>
  </si>
  <si>
    <t>B. Layanan Pengguna</t>
  </si>
  <si>
    <t>FGD/Sharing Session terkait Central Government Advisory</t>
  </si>
  <si>
    <t>Kegiatan FGD/Sharing Session yang dilaksanakan KPPN dengan materi di antaranya namun tidak terbatas pada digitalisasi pembayaran; laporan keuangan pemerintah; keuangan negara dan fiskal; penguatan pelaksanaan anggaran berbasis kinerja.
- Nilai 10
KPPN melaksanakan FGD/Sharing Session terkait CGA minimal 1 kali setiap triwulan dengan bukti dukung yang memadai
- Nilai 5 
KPPN melaksanakan FGD/Sharing Session terkait CGA sebanyak 1 kali dalam 1 semester dengan bukti dukung yang memadai. 
- Nilai 0
KPPN tidak melaksanakan FGD/ Sharing Session terkait CGA.</t>
  </si>
  <si>
    <t>1. FGD/Sharing Session merupakan media pembinaan dan pertukaran pengetahuan untuk memperkuat pemahaman satker terhadap kebijakan perbendaharaan dan keuangan negara.
2. Pelaksanaan kegiatan secara rutin menunjukkan komitmen KPPN dalam menjalankan peran FA.
3. Kegiatan FGD yang efektif meningkatkan kualitas tata kelola dan mendorong perbaikan capaian kinerja satker dalam mengelola APBN.</t>
  </si>
  <si>
    <t>1. Kepdirjen Perbendaharaan Nomor KEP-32/PB/2024 tentang Program Penguatan Peran Kantor Pelayanan Perbendaharaan Negara Selaku Financial Advisory.
2. Nota Dinas Sekretaris Direktorat Jenderal Perbendaharaan Nomor ND-2168/PB.1/2025 hal Standardisasi Kegiatan Manajemen Instansi Vertikal DJPb.</t>
  </si>
  <si>
    <t>- Laporan pelaksanaan kegiatan; dan/atau
- Bukti keterlibatan kegiatan FGD/Sharing Session (misalnya ST/ Undangan, Daftar Hadir)</t>
  </si>
  <si>
    <t>PB34_Laporan Kegiatan FGD Sharing Session terkait Central Government Advisory
Laporan Kegiatan TW II sudah diupload</t>
  </si>
  <si>
    <t>Sosialisasi/ Bimtek terkait Central Government Advisory</t>
  </si>
  <si>
    <t>Kegiatan sosialisasi atau bimbingan teknis yang dilaksanakan oleh KPPN kepada satker lingkup wilayah kerja dengan materi di antaranya namun tidak terbatas pada digitalisasi pembayaran; laporan keuangan pemerintah; keuangan negara dan fiskal; penguatan pelaksanaan anggaran berbasis kinerja.
- Nilai 10
KPPN melaksanakan Sosialisasi/Bimtek CGA minimal 1 kali setiap triwulan dengan bukti dukung yang memadai.
- Nilai 5 
KPPN melaksanakan Sosialisasi/Bimtek CGA sebanyak 1 kali dalam 1 semester dengan bukti dukung yang memadai.
- Nilai 0
KPPN tidak melaksanakan Sosialisasi/ Bimtek CGA</t>
  </si>
  <si>
    <t>1. Sosialisasi dan Bimtek merupakan bentuk pembinaan berkelanjutan (continuous advisory) dalam rangka peningkatan pemahaman satker terhadap kebijakan fiskal dan operasional perbendaharaan.
2. Pelaksanaan kegiatan yang rutin dan terdokumentasi menunjukkan peran aktif KPPN sebagai advisor bagi Satker.
3. Efektivitas kegiatan dapat tercermin dari perbaikan kepatuhan satker, peningkatan kualitas pelaksanaan anggaran, serta penurunan tingkat kesalahan atau deviasi indikator kinerja.</t>
  </si>
  <si>
    <t>Laporan pelaksanaan kegiatan Sosialisasi/
Bimtek</t>
  </si>
  <si>
    <t>PB35_Laporan Pelaksanaan Kegiatan Terkait Central Government Advisory
Laporan Triwulan II telah diupload</t>
  </si>
  <si>
    <t>Helpdesk</t>
  </si>
  <si>
    <t>a. Asistensi</t>
  </si>
  <si>
    <t xml:space="preserve">Pelaksanaan kegiatan asistensi oleh KPPN kepada satker dalam rangka peningkatan kualitas pelaksanaan anggaran, tata kelola keuangan, serta digitalisasi layanan perbendaharaan.
- Nilai 10
KPPN melakukan kegiatan asistensi minimal 1 kali setiap triwulan dengan bukti dukung yang memadai.
- Nilai 5 
KPPN melakukan kegiatan asistensi sebanyak 1 kali dalam 1 semester dengan bukti dukung yang memadai.
- Nilai 0
KPPN tidak melakukan kegiatan asistensi. </t>
  </si>
  <si>
    <t>1. Asistensi merupakan bentuk pembinaan langsung dan responsif KPPN kepada satker atas permasalahan teknis dan substantif pelaksanaan anggaran.
2. Kegiatan ini bertujuan meningkatkan kualitas tata kelola keuangan dan literasi digital perbendaharaan.
3. Asistensi menjadi indikator efektivitas peran KPPN sebagai financial advisor dan katalis peningkatan kinerja satker.</t>
  </si>
  <si>
    <t>PB36a_Sharing Session Peningkatan Capaian IKPA
Laporan Triwulan II sudah diupload</t>
  </si>
  <si>
    <t>b. Responsivitas Penyelesaian Permalasahan melalui HAI CSO</t>
  </si>
  <si>
    <t>Berdasarkan Laporan HAI CSO dari aplikasi My intress
- Nilai 10
KPPN menjawab seluruh pertanyaan Satker melalui HAI CSO dengan tepat waktu (≤ 3 hari kerja).
- Nilai 7
KPPN menjawab seluruh pertanyaan Satker melalui HAI CSO dalam 4–5 hari kerja.
- Nilai 0
KPPN menjawab seluruh pertanyaan Satker melalui HAI CSO lebih dari 5 hari kerja.</t>
  </si>
  <si>
    <t>1. Kecepatan dan ketepatan jawaban merupakan indikator responsivitas dan kualitas pembinaan KPPN terhadap satker.
2. Kinerja responsivitas HAI CSO mencerminkan profesionalisme dan kepuasan pengguna layanan perbendaharaan.</t>
  </si>
  <si>
    <t>1. Perdirjen Nomor PER-8/PB/2020 tentang Pedoman Penyelenggaraan Layanan Help, Answer, Improve DJPb.
2. Kepdirjen Perbendaharaan Nomor KEP-32/PB/2024 tentang Program Penguatan Peran Kantor Pelayanan Perbendaharaan Negara Selaku Financial Advisory.</t>
  </si>
  <si>
    <t>Laporan HAI CSO pada My Intress</t>
  </si>
  <si>
    <t>PB36b_Monitoring IKI CSO Triwulan 1 Tahun 2026.pdf</t>
  </si>
  <si>
    <t>C. Monitoring dan Evaluasi</t>
  </si>
  <si>
    <t>Pelaksanaan Monev terkait Central Government Advisory</t>
  </si>
  <si>
    <t>Berdasarkan analisis permasalahan dan capaian kinerja satker, KPPN melaksanakan kegiatan monitoring dan evaluasi (Monev) terhadap pelaksanaan anggaran satker, baik secara langsung maupun daring, dalam rangka pelaksanaan fungsi Central Government Advisory.
- Nilai 10
KPPN melakukan kegiatan Monev terhadap satker minimal 1 kali setiap triwulan, disertai bukti dukung kegiatan yang memadai.
- Nilai 5
KPPN melakukan kegiatan Monev terhadap satker minimal 1 kali dalam 1 semester, disertai bukti dukung kegiatan yang memadai.
- Nilai 0
KPPN tidak melakukan kegiatan Monev terhadap satker.</t>
  </si>
  <si>
    <t>1. Monev merupakan bentuk pembinaan aktif dan berkelanjutan berbasis data analitik, untuk mengidentifikasi permasalahan dan memperbaiki kualitas pelaksanaan anggaran satker.
2. Pelaksanaan Monev secara periodik menunjukkan peran KPPN sebagai financial advisor yang adaptif, responsif, dan strategis dalam mendukung pencapaian kinerja fiskal pemerintah.</t>
  </si>
  <si>
    <t>1. Kepdirjen Perbendaharaan Nomor KEP-32/PB/2024 tentang Program Penguatan Peran Kantor Pelayanan Perbendaharaan Negara Selaku Financial Advisory.
2. Nota Dinas Sekretaris Direktorat Jenderal Perbendaharaan Nomor ND-2168/PB.1/2025 hal Standardisasi Kegiatan Manajemen Instansi Vertikal DJPb</t>
  </si>
  <si>
    <r>
      <t xml:space="preserve">Laporan/bukti dukung kegiatan monev terkait </t>
    </r>
    <r>
      <rPr>
        <i/>
        <sz val="11"/>
        <color theme="1"/>
        <rFont val="Aptos Narrow"/>
        <family val="2"/>
        <scheme val="minor"/>
      </rPr>
      <t>Central Government Advisory</t>
    </r>
  </si>
  <si>
    <t xml:space="preserve">PB37_Laporan Pelaksanaan Kegiatan Terkait Central Government Advisory
</t>
  </si>
  <si>
    <t>Hasil dan Tindak Lanjut Monev terkait Central Government Advisory</t>
  </si>
  <si>
    <t xml:space="preserve">Berdasarkan hasil pelaksanaan Monev terhadap satuan kerja dalam rangka Central Government Advisory, KPPN menyusun laporan hasil Monev berupa pemetaan permasalahan satker dan menindaklanjuti hasil tersebut melalui rekomendasi, solusi, dan/atau langkah perbaikan lainnya.
- Nilai 10
KPPN menyampaikan seluruh dokumen hasil Monev dan tindak lanjutnya secara lengkap, terukur, dan didukung bukti yang memadai.
- Nilai 5
KPPN menyampaikan laporan hasil Monev, namun belum terdapat bukti upaya tindak lanjut atau rekomendasi perbaikan yang jelas.
- Nilai 0
KPPN tidak melaksanakan kegiatan Monev. </t>
  </si>
  <si>
    <t>1. KPPN mampu mengonversi hasil Monev menjadi rekomendasi dan tindak lanjut nyata yang berorientasi pada perbaikan kinerja satuan kerja.
2. Hasil tindak lanjut Monev mencerminkan fungsi analitis dan advisory KPPN dalam mendukung efektivitas pelaksanaan anggaran satker.
3. Dokumentasi hasil dan tindak lanjut Monev menjadi bukti pelaksanaan pembinaan berkelanjutan dan perbaikan berbasis data analitik.</t>
  </si>
  <si>
    <r>
      <t xml:space="preserve">laporan/bukti dukung kegiatan tindak lanjut monev terkait </t>
    </r>
    <r>
      <rPr>
        <i/>
        <sz val="11"/>
        <color theme="1"/>
        <rFont val="Aptos Narrow"/>
        <family val="2"/>
        <scheme val="minor"/>
      </rPr>
      <t>Central Government Advisory</t>
    </r>
  </si>
  <si>
    <t>PB38_Hasil dan Tindak Lanjut Monev terkait Central Government Advisory
Kertas Kerja Monitoring Financial Advisory Periode Triwulan I 2026</t>
  </si>
  <si>
    <r>
      <t xml:space="preserve">II. </t>
    </r>
    <r>
      <rPr>
        <b/>
        <i/>
        <sz val="11"/>
        <color theme="1"/>
        <rFont val="Aptos Narrow"/>
        <family val="2"/>
        <scheme val="minor"/>
      </rPr>
      <t>Local Government Advisory</t>
    </r>
  </si>
  <si>
    <t>A. Layanan Pengguna</t>
  </si>
  <si>
    <t>FGD/Sharing Session terkait Local Government Advisory</t>
  </si>
  <si>
    <t>Berdasarkan penyelenggaraan kegiatan atau keterlibatan KPPN dalam FGD/Sharing Session bersama Pemerintah Daerah, dengan materi di antaranya namun tidak terbatas pada pengendalian dan mitigasi inflasi daerah; evaluasi penyaluran dan pemanfaatan TKD; sinkronisasi pengelolaan APBD ; dan penguatan fiskal daerah.
- Nilai 10
KPPN menyelenggarakan atau terlibat dalam FGD/Sharing Session minimal 1 kali setiap triwulan dengan bukti dukung yang memadai.
- Nilai 5 
KPPN menyelenggarakan atau terlibat dalam FGD/Sharing Session sebanyak 1 kali dalam 1 semester dengan bukti dukung yang memadai.
- Nilai 0
KPPN tidak melaksanakan atau terlibat dalam kegiatan FGD/Sharing Session terkait LGA</t>
  </si>
  <si>
    <t>1. FGD/Sharing Session merupakan bentuk penguatan fungsi advisory KPPN sebagai mitra kebijakan (policy partner) Pemerintah Daerah dalam mendorong efektivitas penyaluran TKD dan pertumbuhan ekonomi daerah.
2. Kegiatan ini mencerminkan kematangan peran KPPN sebagai Local Fiscal Advisor, tidak hanya berfungsi administratif, tetapi juga konsultatif dan strategis.</t>
  </si>
  <si>
    <t>PB39_FGD Sharing Session terkait Local Government Advisory
Laporan Triwulan II 2026 sudah  diupload</t>
  </si>
  <si>
    <t>Sosialisasi/ Bimtek terkait Local Government Advisory</t>
  </si>
  <si>
    <t xml:space="preserve">Berdasarkan kegiatan sosialisasi/bimtek yang dilakukan oleh KPPN dengan materi terkait proses perencanaan, persyaratan penyaluran, penggunaan, dan/atau pertanggungjawaban dana TKD
- Nilai 10
KPPN melaksanakan kegiatan Sosialisasi/ Bimtek minimal 1 kali setiap triwulan disertai bukti dukung yang lengkap dan memadai
- Nilai 5 
KPPN melaksanakan kegiatan Sosialisasi/ Bimtek sebanyak 1 kali dalam 1 semester disertai bukti dukung yang lengkap dan memadai.
- Nilai 0
KPPN tidak melaksanakan kegiatan Sosialisasi/Bimtek terkait LGA selama periode penilaian </t>
  </si>
  <si>
    <t>1.Kegiatan Sosialisasi/Bimtek merupakan sarana pembinaan dan peningkatan kapasitas Pemda dalam memahami siklus penyaluran TKD dari perencanaan hingga pertanggung-jawaban.
2. Pemahaman yang baik atas ketentuan TKD akan mengurangi risiko keterlambatan, retur dokumen, maupun ketidaktepatan pelaporan.
3. Melalui kegiatan ini, KPPN menunjukkan perannya sebagai Local Fiscal Advisor yang aktif, edukatif, dan berorientasi pada peningkatan kualitas pengelolaan keuangan daerah</t>
  </si>
  <si>
    <t>Laporan pelaksanaan kegiatan Sosialisasi/ Bimtek</t>
  </si>
  <si>
    <t>PB40_Sosialisasi Bimtek terkait Local Government Advisory</t>
  </si>
  <si>
    <t>Berdasarkan permasalahan yang timbul dalam proses penyaluran TKD oleh Pemda, KPPN melakukan fungsi helpdesk dengan berkoordinasi dan memberikan asistensi guna menyelesaikan permasalahan dimaksu
- Nilai 10
KPPN melakukan upaya/tindak lanjut atas permasalahan terkait dengan Penyaluran TKD disertai dengan bukti dukung yang memadai.
- Nilai 5
KPPN melakukan upaya/tindak lanjut atas sebagian permasalahan terkait dengan Penyaluran TKD disertai dengan bukti dukung yang memadai;
- Nilai 0
KPPN tidak melakukan upaya tindak lanjut atas permasalahan TKD yang disampaikan oleh Pemda.</t>
  </si>
  <si>
    <t>1. KPPN berperan sebagai penghubung fiskal (fiscal intermediary) antara Pemerintah Pusat dan Pemerintah Daerah dalam memastikan kelancaran penyaluran TKD.
2. Penyelesaian masalah TKD secara cepat dan akurat mendukung percepatan realisasi anggaran daerah dan menjaga kesinambungan pelayanan publik.</t>
  </si>
  <si>
    <t>PB41_Laporan Kegiatan Bimtek dan Monev TKD Kab Agam.pdf</t>
  </si>
  <si>
    <t>B.Monitoring dan Evaluasi</t>
  </si>
  <si>
    <t>Pelaksanaan Monev terkait Local Government Advisory</t>
  </si>
  <si>
    <t>Berdasarkan hasil analisis terhadap permasalahan penyaluran TKD, KPPN melaksanakan kegiatan monev kepada Pemda secara langsung atau daring, serta dapat berkolaborasi dengan Kanwil DJPb.
- Nilai 10
KPPN melaksanakan kegiatan monev kepada Pemda minimal 1 kali setiap triwulan dan dilengkapi dengan bukti dukung kegiatan yang lengkap dan memadai.
- Nilai 5
KPPN melakukan monev kepada Pemda minimal 1 kali dalam 1 semester disertai dokumen bukti kegiatan yang memadai
- Nilai 0
KPPN tidak melakukan monev kepada Pemda.</t>
  </si>
  <si>
    <t>1. Kegiatan monev harus berorientasi pada identifikasi hambatan penyaluran, peningkatan kualitas pelaporan, serta percepatan realisasi TKD.
2. Kolaborasi dengan Kanwil DJPb memperkuat fungsi koordinatif dan sinergi pembinaan kepada Pemerintah Daerah</t>
  </si>
  <si>
    <t>1. Kepdirjen Perbendaharaan Nomor KEP-32/PB/2024 tentang Program Penguatan Peran Kantor Pelayanan Perbendaharaan Negara Selaku Financial Advisory.
2. Perdirjen Nomor PER-7/PB/2020 tentang Petunjuk Teknis Penyaluran DAK Fisik pada DJPb dan Perdirjen Nomor PER-3/PB/2021 tentang Petunjuk Teknis Penyaluran Dana Desa pada DJPb</t>
  </si>
  <si>
    <r>
      <t xml:space="preserve">Laporan/bukti dukung kegiatan monev terkait </t>
    </r>
    <r>
      <rPr>
        <i/>
        <sz val="11"/>
        <color theme="1"/>
        <rFont val="Aptos Narrow"/>
        <family val="2"/>
        <scheme val="minor"/>
      </rPr>
      <t>Local Government Advisory</t>
    </r>
  </si>
  <si>
    <t>PB42_Pelaksanaan Monev Terkait Local Government Advisory</t>
  </si>
  <si>
    <t>Hasil dan Tindak lanjut Monev terkait Local Government Advisory</t>
  </si>
  <si>
    <t xml:space="preserve">Berdasarkan hasil pelaksanaan kegiatan monev terhadap Pemda dalam rangka Local Government Advisory, KPPN menyusun laporan hasil monev yang berisi pemetaan permasalahan penyaluran TKD dan melakukan tindak lanjut berupa rekomendasi, solusi, dan/atau langkah perbaikan sesuai hasil monev.
- Nilai 10
KPPN menyampaikan seluruh dokumen hasil monev dan tindak lanjutnya dengan lengkap dan memadai.
- Nilai 5
KPPN menyampaikan hasil monev namun tidak terdapat upaya tindak lanjut yang terdokumentasi
- Nilai 0
KPPN tidak melakukan kegiatan monev terhadap Pemerintah Daerah </t>
  </si>
  <si>
    <t>1. Tindak lanjut hasil monev menjadi bukti nyata peran advisory KPPN dalam membantu Pemda menyelesaikan kendala penyaluran dan meningkatkan kualitas laporan keuangan daerah.
2. hasil dan tindak lanjut monev mencerminkan akuntabilitas dan efektivitas pembinaan KPPN dalam mendukung kinerja fiskal daerah.</t>
  </si>
  <si>
    <t>1. Kepdirjen Perbendaharaan Nomor KEP-32/PB/2024 tentang Program Penguatan Peran Kantor Pelayanan Perbendaharaan Negara Selaku Financial Advisory.
2. Perdirjen Nomor PER-7/PB/2020 tentang Petunjuk Teknis Penyaluran DAK Fisik pada DJPb dan
3. Perdirjen Nomor PER-3/PB/2021 tentang Petunjuk Teknis Penyaluran Dana Desa pada DJPb</t>
  </si>
  <si>
    <r>
      <t xml:space="preserve">laporan/bukti dukung kegiatan tindak lanjut monev terkait </t>
    </r>
    <r>
      <rPr>
        <i/>
        <sz val="11"/>
        <color theme="1"/>
        <rFont val="Aptos Narrow"/>
        <family val="2"/>
        <scheme val="minor"/>
      </rPr>
      <t>Local Government Advisory</t>
    </r>
  </si>
  <si>
    <t>PB43_Laporan Kegiatan Bimtek serta Monitoring dan Evaluasi TKD Kabupaten Agam</t>
  </si>
  <si>
    <r>
      <t xml:space="preserve">III. </t>
    </r>
    <r>
      <rPr>
        <b/>
        <i/>
        <sz val="11"/>
        <color theme="1"/>
        <rFont val="Aptos Narrow"/>
        <family val="2"/>
        <scheme val="minor"/>
      </rPr>
      <t>Special Mission</t>
    </r>
  </si>
  <si>
    <t>FGD/Sharing Session terkait Special Mission</t>
  </si>
  <si>
    <t xml:space="preserve">Berdasarkan penyelenggaraan atau keterlibatan KPPN dalam kegiatan FGD/Sharing Session bersama Pemerintah Daerah, Satuan Kerja, BLU/BLUD, dan/atau Masyarakat (UMKM) dengan materi yang meliputi namun tidak terbatas pada pemberdayaan UMKM; implementasi co-location; perencanaan keuangan BLU/BLUD; investasi daerah; dan/atau KPBU.
- Nilai 10
KPPN menyelenggarakan atau terlibat dalam kegiatan FGD/Sharing Session minimal 1 kali setiap triwulan, dilengkapi bukti dukung yang memadai
- Nilai 5 
KPPN menyelenggarakan atau terlibat dalam kegiatan FGD/Sharing Session sebanyak 1 kali dalam 1 semester, dilengkapi bukti dukung yang memadai
- Nilai 0
KPPN tidak melakukan kegiatan FGD/Sharing Session terkait Special Mission </t>
  </si>
  <si>
    <t>1. Kegiatan FGD/Sharing Session menjadi sarana advokasi fiskal dan komunikasi publik atas peran DJPb dalam mendorong ekonomi lokal dan mendukung misi pembangunan nasional.
2. Topik dapat disesuaikan dengan potensi daerah.</t>
  </si>
  <si>
    <t>1. Kepdirjen Nomor KEP-112/PB/2023 tentang Petunjuk Teknis Pemberdayaan UMKM Lingkup DJPb.
2. Kepdirjen Perbendaharaan Nomor KEP-32/PB/2024 tentang Program Penguatan Peran Kantor Pelayanan Perbendaharaan Negara Selaku Financial Advisory.
3. Nota Dinas Sekretaris Direktorat Jenderal Perbendaharaan Nomor ND-2168/PB.1/2025 hal Standardisasi Kegiatan Manajemen Instansi Vertikal DJPb.</t>
  </si>
  <si>
    <t>- Laporan pelaksanaan kegiatan; dan/atau
-	Bukti keterlibatan kegiatan FGD/Sharing Session (misalnya ST/ Undangan, Daftar Hadir)</t>
  </si>
  <si>
    <t>PB44_Laporan Kegiatan FGD Spescial Mission Pemberdayaan dan Kurasi Produk UMKM</t>
  </si>
  <si>
    <t xml:space="preserve">Berdasarkan kegiatan sosialisasi/bimtek yang dilakukan oleh KPPN dengan materi kebijakan terkini terkait pengelolaan keuangan BLU/BLUD dan/atau pemberdayaan UMKM (dapat berkolaborasi dengan Kanwil DJPb setempat)
- Nilai 10
KPPN melakukan Sosialisasi/Bimtek minimal 1 kali setiap triwulan dilampiri dengan bukti dukung yang memadai
- Nilai 5 
KPPN melakukan Sosialisasi/Bimtek sebanyak 1 kali dalam 1 semester dilampiri dengan bukti dukung yang memadai
- Nilai 0
KPPN tidak melakukan Sosialisasi/ Bimtek </t>
  </si>
  <si>
    <t>1. Fokus pembinaan diarahkan untuk memastikan kepatuhan terhadap ketentuan pengelolaan keuangan BLU, termasuk tata kelola kas, belanja, dan pelaporan.
2. Hasil monev digunakan untuk memberikan rekomendasi perbaikan pengelolaan keuangan BLU serta mendorong peningkatan kualitas layanan publik oleh BLU.</t>
  </si>
  <si>
    <t>1. Kepdirjen Nomor KEP-112/PB/2023 tentang Petunjuk Teknis Pemberdayaan UMKM Lingkup DJPb.
2. Kepdirjen Perbendaharaan Nomor KEP-32/PB/2024 tentang Program Penguatan Peran Kantor Pelayanan Perbendaharaan Negara Selaku Financial Advisory.
3. Nota Dinas Sekretaris Direktorat Jenderal Perbendaharaan Nomor ND-2168/PB.1/2025 hal Standardisasi Kegiatan Manajemen Instansi Vertikal DJPb</t>
  </si>
  <si>
    <t>PB45_Laporan Kegiatan FGD Special Mission Pemberdayaan dan Kurasi Produk UMKM</t>
  </si>
  <si>
    <t>Pelaksanaan Monev terkait Special Mission</t>
  </si>
  <si>
    <t>a</t>
  </si>
  <si>
    <t>Pengelolaan Keuangan BLU</t>
  </si>
  <si>
    <t>Berdasarkan analisis permasalahan penyaluran pengelolaan keuangan BLU, KPPN melakukan monev baik secara langsung atau daring kepada BLU (dapat berkolaborasi dengan Kanwil DJPb) dengan ketentuan:
- Nilai 10
KPPN melakukan kegiatan monev kepada BLU minimal 1 kali setiap triwulan dengan bukti dukung kegiatan yang memadai.
- Nilai 5
KPPN melakukan kegiatan monev kepada BLU minimal 1 kali dalam 1 semester dengan bukti dukung kegiatan yang memadai.
- Nilai 0
KPPN tidak melakukan kegiatan monev kepada BLU selama periode penilaian.</t>
  </si>
  <si>
    <t>1. Monev dilakukan dengan pendekatan analisis berbasis data laporan keuangan BLU, RBA, dan realisasi kas pada sistem DJPb.
2. Fokus pembinaan diarahkan untuk memastikan kepatuhan terhadap ketentuan pengelolaan keuangan BLU.
3. Hasil monev digunakan untuk memberikan rekomendasi perbaikan pengelolaan keuangan BLU serta mendorong peningkatan kualitas layanan publik oleh BLU.</t>
  </si>
  <si>
    <t>Laporan/bukti dukung kegiatan monev kepada BLU</t>
  </si>
  <si>
    <t>PB46a_Pengelolaan Keuangan BLU</t>
  </si>
  <si>
    <t>b</t>
  </si>
  <si>
    <t>Pelaksanaan Monev Pembiayaan Umi</t>
  </si>
  <si>
    <t>Kegiatan monev yang dilaksanakan oleh KPPN dapat meliputi namun tidak terbatas pada kegiatan publikasi ke Masyarakat (FGD, pekan bazar UMKM, postingan di medsos), identifikasi oleh LKBB potensial Kerjasama dengan Pemda dsb.
- Nilai 10
KPPN melakukan monev pembiayaan UMi minimal 1 kali selama 1 triwulan disertai dokumen bukti kegiatan yang memadai.
- Nilai 5
KPPN melakukan monev pembiayaan UMi minimal 1 kali dalam 1 semester disertai dokumen bukti kegiatan yang memadai.
- Nilai 0
KPPN tidak melakukan monev pembiayaan UMi.</t>
  </si>
  <si>
    <t>1.	Menunjukkan pembinaan aktif dan berkelanjutan; 
2.	Pelaksanaan monev mendukung peningkatan literasi keuangan dan inklusi pembiayaan ultra mikro bagi pelaku usaha kecil di daerah.</t>
  </si>
  <si>
    <t>1. Kepdirjen Nomor KEP-112/PB/2023 tentang Petunjuk Teknis Pemberdayaan UMKM Lingkup DJPb
2. Kepdirjen Perbendaharaan Nomor KEP-32/PB/2024 tentang Program Penguatan Peran Kantor Pelayanan Perbendaharaan Negara Selaku Financial Advisory.
3. Nota Dinas Sekretaris Direktorat Jenderal Perbendaharaan Nomor ND-2168/PB.1/2025 hal Standardisasi Kegiatan Manajemen Instansi Vertikal DJPb</t>
  </si>
  <si>
    <t>Laporan/bukti dukung kegiatan monev pembiayaan Umi</t>
  </si>
  <si>
    <t>PB46b_Pelaksanaan Monev Pembiayaan UMi</t>
  </si>
  <si>
    <t>c</t>
  </si>
  <si>
    <t xml:space="preserve">Pengumpulan Laporan Keuangan BUMD </t>
  </si>
  <si>
    <t>KPPN cq Seksi Bank melakukan permintaan Laporan Keuangan BUMD Tahunan kepada Pemda sesuai hasil identifikasi yang dilakukan Kanwil DJPb
- Nilai 10
KPPN memperoleh 90% s.d. 100% laporan keuangan BUMD sesuai hasil identifikasi oleh Kanwil DJPb
- Nilai 5
KPPN memperoleh 50% s.d. 89% laporan keuangan BUMD sesuai hasil identifikasi oleh Kanwil DJPb
- Nilai 0
KPPN memperoleh kurang dari 50% laporan keuangan BUMD sesuai hasil identifikasi oleh Kanwil DJPb</t>
  </si>
  <si>
    <t>1. Laporan keuangan BUMD yang diperoleh menjadi data sumber bagi translasi kertas kerja penyusunan Laporan Statistik Keuangan Pemerintah sektor Korporasi Publik (LSKP-KP) periode tahunan tingkat nasional.
2. Kolaborasi dan sinergi KPPN dengan Kanwil DJPb mendukung kelancaran pengumpulan laporan keuangan BUMD serta penyelesaian translasi dan unggah secara tepat waktu dan berkualitas.</t>
  </si>
  <si>
    <t>Perdirjen Perbendaharaan Nomor PER-10/PB/2024 tentang Petunjuk Teknis Penyusunan Laporan Statistik Keuangan Pemerintah sektor Korporasi Publik.</t>
  </si>
  <si>
    <t xml:space="preserve">Laporan Keuangan BUMD periode tahunan yang berhasil diperoleh berdasarkan hasil identifikasi oleh Kanwil DJPb </t>
  </si>
  <si>
    <t>PB46c_Pengumpulan Laporan Keuangan BUMD</t>
  </si>
  <si>
    <t>d</t>
  </si>
  <si>
    <t>Penyelesaian Translasi dan Unggah Laporan Keuangan BUMD</t>
  </si>
  <si>
    <t>Berdasarkan laporan keuangan BUMD yang diperoleh, KPPN melakukan translasi ke dalam kertas kerja korporasi publik.
- Nilai 10
KPPN telah melakukan translasi dan unggah pada sistem informasi sebesar 90% s.d. 100% dari total laporan keuangan BUMD yang diperoleh
- Nilai 5
KPPN telah melakukan translasi dan unggah pada sistem informasi sebesar 50% s.d. 89% dari total laporan keuangan BUMD yang diperoleh
- Nilai 0
KPPN telah melakukan translasi dan unggah pada sistem informasi kurang dari 50% dari total laporan keuangan BUMD yang diperoleh</t>
  </si>
  <si>
    <t>1. Translasi dari laporan keuangan BUMD ke dalam kertas kerja merupakan proses mapping dari akun pada laporan keuangan ke dalam akun statistik keuangan pemerintah/GFS
2. Hasil translasi kemudian dikompilasi secara nasional dalam rangka penyusunan LSKP-KP</t>
  </si>
  <si>
    <t>Perdirjen Nomor PER-10/PB/2024 tentang Petunjuk Teknis Penyusunan Laporan Statistik Keuangan Pemerintah sektor Korporasi Publik</t>
  </si>
  <si>
    <t>File kertas kerja translasi data laporan keuangan BUMD yang telah terisi dan diunggah pada sistem informasi</t>
  </si>
  <si>
    <t>PB46d_Penyelesaian Translasi dan Unggah Laporan Keuangan BUMD</t>
  </si>
  <si>
    <t>N/A</t>
  </si>
  <si>
    <t>Hasil dan Tindak Lanjut Monev terkait Special Mission</t>
  </si>
  <si>
    <t xml:space="preserve">Berdasarkan pelaksanaan monitoring dan evaluasi kepada Pemda terkait Special Mission, KPPN menyusun dokumen hasil monev serta menindaklanjutinya dalam bentuk rekomendasi, solusi, dan/atau langkah perbaikan lainnya.
- Nilai 10
KPPN dapat menyampaikan seluruh dokumen hasil monev dan tindak lanjutnya dengan lengkap dan memadai
- Nilai 5
KPPN menyampaikan hasil monev namun tidak terdapat upaya tindak lanjut
- Nilai 0
KPPN tidak melakukan monev </t>
  </si>
  <si>
    <t>1. Peningkatan efektivitas terkait koordinasi KPPN dengan Pemda dalam mendukung program Special Mission.
2. Pelaporan hasil monev menjadi dasar perbaikan berkelanjutan (continuous improvement) dalam pelaksanaan Special Mission DJPb di daerah</t>
  </si>
  <si>
    <t>1. Kepdirjen Nomor KEP-112/PB/2023 tentang Petunjuk Teknis Pemberdayaan UMKM Lingkup DJPb.
2. Kepdirjen Perbendaharaan Nomor KEP-32/PB/2024 tentang Program Penguatan Peran Kantor Pelayanan Perbendaharaan Negara Selaku Financial Advisory.
3. Nota Dinas Sekretaris Direktorat Jenderal Perbendaharaan Nomor ND-2168/PB.1/ 2025 hal Standardisasi Kegiatan Manajemen Instansi Vertikal DJPb</t>
  </si>
  <si>
    <r>
      <t xml:space="preserve">laporan/bukti dukung kegiatan tindak lanjut monev terkait </t>
    </r>
    <r>
      <rPr>
        <i/>
        <sz val="11"/>
        <color theme="1"/>
        <rFont val="Aptos Narrow"/>
        <family val="2"/>
        <scheme val="minor"/>
      </rPr>
      <t>Special Mission</t>
    </r>
  </si>
  <si>
    <t>PB47_Hasil dan Tindak Lanjut Monev terkait Special Mission
Kertas kerja Monitoring FA sudah diupload</t>
  </si>
  <si>
    <t>DUKUNGAN MANAJEMEN</t>
  </si>
  <si>
    <t>A. Tata Kelola Organisasi</t>
  </si>
  <si>
    <t>Perhitungan NKO</t>
  </si>
  <si>
    <t>Penilaian dilakukan terhadap ketepatan dan kesesuaian perhitungan NKO KPPN berdasarkan pedoman Manajemen Kinerja di lingkungan Kementerian Keuangan.
- Nilai 10
KPPN telah melakukan perhitungan NKO dengan benar dan sesuai ketentuan yang berlaku.
- Nilai 0
Ditemukan kesalahan dalam perhitungan NKO oleh KPPN.</t>
  </si>
  <si>
    <t>1. KPPN wajib memastikan keakuratan perhitungan NKO sebagai dasar penilaian kinerja organisasi dan pengambilan keputusan manajerial.
2. Ketepatan perhitungan NKO mencerminkan efektivitas sistem pengelolaan kinerja dan akuntabilitas hasil kinerja unit pelaksana.</t>
  </si>
  <si>
    <t>Keputusan Menteri Keuangan Republik Indonesia Nomor 300/KMK.01/2022 tentang Manajemen Kinerja di Lingkungan Kementerian Keuangan</t>
  </si>
  <si>
    <t>- Laporan perhitungan NKO;
- Dokumen validasi atau hasil reviu Kanwil atas perhitungan NKO KPPN.</t>
  </si>
  <si>
    <t>PB48_Perhitungan NKO</t>
  </si>
  <si>
    <t>Kepatuhan Pengunggahan Dokumen Kinerja pada Aplikasi INTENSE</t>
  </si>
  <si>
    <t>Penilaian dilakukan terhadap tingkat kepatuhan pegawai KPPN dalam mengunggah dokumen kinerja melalui Aplikasi INTENSE (menu monitoring kinerja Kanwil DJPb).
- Nilai 10
75%-100% pegawai KPPN telah mengunggah dokumen kinerja di Aplikasi INTENSE.
- Nilai 5
50%≤ x&lt;75% pegawai KPPN telah mengunggah dokumen kinerja di Aplikasi INTENSE.
- Nilai 0
Kurang dari 50% pegawai KPPN telah mengunggah dokumen kinerja di Aplikasi INTENSE.</t>
  </si>
  <si>
    <t>1. Kepatuhan pengunggahan dokumen kinerja mencerminkan disiplin pegawai dan efektivitas pelaksanaan manajemen kinerja berbasis digital di KPPN.
2. KPPN wajib memastikan monitoring kinerja dilakukan secara berkala untuk menjamin akuntabilitas hasil kerja individu dan unit.</t>
  </si>
  <si>
    <t>1. Keputusan Menteri Keuangan Republik Indonesia Nomor 300/KMK.01/2022 tentang Manajemen Kinerja di Lingkungan Kementerian Keuangan.
2. Kepdirjen Perbendaharaan Nomor KEP-58/PB/2025 tentang Manajemen Kinerja di Lingkungan Direktorat Jenderal Perbendaharaan.</t>
  </si>
  <si>
    <t>- Tangkapan layar atau rekapitulasi monitoring pengunggahan dokumen kinerja dari Aplikasi INTENSE;
- Daftar pegawai yang telah dan belum melakukan pengunggahan.</t>
  </si>
  <si>
    <t>PB49_Kepatuhan Pengunggahan Dokumen Kinerja pada Aplikasi INTENSE</t>
  </si>
  <si>
    <t>Evaluasi Capaian Kinerja Internal</t>
  </si>
  <si>
    <t xml:space="preserve">Penilaian dilakukan terhadap pelaksanaan evaluasi capaian kinerja internal KPPN yang dipimpin oleh Kepala KPPN dan didukung dokumentasi rapat serta laporan hasil evaluasi.
- Nilai 10
Evaluasi capaian kinerja internal dilaksanakan minimal 1 kali setiap bulan, dengan laporan dan dokumentasi lengkap
- Nilai 5
Evaluasi capaian kinerja internal dilaksanakan minimal 1 kali setiap triwulan, dengan laporan dan dokumentasi lengkap
- Nilai 0
KPPN tidak melaksanakan evaluasi capaian kinerja internal </t>
  </si>
  <si>
    <t>1. Evaluasi rutin mencerminkan komitmen pimpinan dalam pengendalian kinerja dan perbaikan berkelanjutan.
2. Dokumentasi hasil evaluasi menjadi dasar analisis capaian dan tindak lanjut peningkatan kinerja organisasi.</t>
  </si>
  <si>
    <t xml:space="preserve">1. Keputusan Menteri Keuangan Republik Indonesia Nomor 300/KMK.01/2022 tentang Manajemen Kinerja di Lingkungan Kementerian Keuangan.
2. Kepdirjen Perbendaharaan Nomor KEP-58/PB/2025 tentang Manajemen Kinerja di Lingkungan Direktorat Jenderal Perbendaharaan.
</t>
  </si>
  <si>
    <t>- Notulen atau laporan hasil evaluasi capaian kinerja; dan/atau
- Bukti pelaksanaan rapat evaluasi kinerja bulanan/triwulanan.</t>
  </si>
  <si>
    <t>PB50_Evaluasi Capaian Kinerja Internal</t>
  </si>
  <si>
    <t>Penyusunan Dokumen Induk Sistem Manajemen Mutu ISO 9001:2015</t>
  </si>
  <si>
    <t xml:space="preserve">Penilaian dilakukan terhadap kelengkapan dan kesesuaian Dokumen Induk SMM yang meliputi Pedoman Mutu, Konteks Organisasi, dan Kebijakan Mutu.
- Nilai 10
KPPN telah menyusun Dokumen Induk (Pedoman Mutu, Konteks Organisasi, Kebijakan Mutu), dengan ketentuan:
a. Pedoman Mutu dan Kebijakan Mutu dilakukan revisi apabila terdapat kebutuhan untuk dilakukan penyesuaian (misalnya jika terdapat perubahan proses bisnis, struktur tata kelola organisasi, lokasi/alamat kantor dll)
b. Konteks Organisasi telah dilakukan revisi setelah penandatanganan Sasaran Kinerja.
- Nilai 5
KPPN menyusun Dokumen Induk namun terdapat ketidaksesuaian pada satu atau lebih atas unsur Dokumen Induk dengan ketentuan dan/atau dengan kondisi terkini.
- Nilai 0
Tidak terdapat dokumentasi atas Dokumen Induk di KPPN. </t>
  </si>
  <si>
    <t>1. Dokumen Induk SMM harus selalu diperbarui sesuai perubahan proses bisnis, struktur organisasi, atau konteks strategis KPPN.
2. Pemeliharaan dokumen mutu menjamin konsistensi penerapan SMM dan keselarasan dengan arah kebijakan DJPb.</t>
  </si>
  <si>
    <t>Kepdirjen Nomor KEP-151/PB/2018 tentang Pedoman Implementasi Sistem Manajemen Mutu ISO 9001:2015 pada KPPN</t>
  </si>
  <si>
    <t>Dokumen Induk SMM (Pedoman Mutu, Konteks Organisasi, Kebijakan Mutu)</t>
  </si>
  <si>
    <t>PB51_Penyusunan Dokumen Induk Sistem Manajemen Mutu ISO 9001 2015</t>
  </si>
  <si>
    <t>Pelaksanaan Pengujian Kepatuhan</t>
  </si>
  <si>
    <t>Penilaian dilakukan terhadap pelaksanaan pengujian kepatuhan tahunan dan kelengkapan laporan hasil pengujian beserta dokumen pendukungnya
- Nilai 10
KPPN melaksanakan pengujian kepatuhan minimal 1 tahun sekali dan menyusun laporan hasil pengujian kepatuhan beserta dokumen pendukungnya (ST, Proker pengujian dll) sesuai ketentuan dalam KEP-151
- Nilai 5
KPPN melaksanakan pengujian kepatuhan minimal 1 tahun sekali namun tidak menyusun laporan hasil pengujian kepatuhan dan/atau tidak terdapat dokumen pendukung yang lengkap (ST, Proker pengujian dll) sesuai ketentuan dalam KEP-151
- Nilai 0
KPPN tidak melaksanakan pengujian kepatuhan.</t>
  </si>
  <si>
    <t>1. Pengujian kepatuhan merupakan instrumen kontrol internal untuk memastikan penerapan SMM berjalan efektif dan sesuai ketentuan.
2. Laporan hasil pengujian digunakan sebagai dasar penyusunan tindakan korektif dan pencegahan.</t>
  </si>
  <si>
    <t>- Laporan hasil pengujian kepatuhan;
- Surat Tugas, program kerja, dan dokumen pendukung pelaksanaan pengujian.</t>
  </si>
  <si>
    <t>PB52_Pengujian Kepatuhan</t>
  </si>
  <si>
    <t>Ketepatan Waktu Pengisian Volume Kerja dan Pelaporan Hasil Analisis Beban Kerja (ABK) kepada Sekretariat DJPb.</t>
  </si>
  <si>
    <t>Penilaian dilakukan terhadap ketepatan waktu pengisian volume kerja dan pelaporan hasil Analisis Beban Kerja (ABK) kepada Sekretariat DJPb
- Nilai 10
KPPN melakukan pengisian volume kerja sebelum batas waktu yang ditetapkan dan menyampaikan laporan ke Sekretariat DJPb. 
- Nilai 5
KPPN melakukan pengisian volume kerja melewati batas waktu yang ditetapkan.
- Nilai 0
KPPN tidak melakukan pengisian volume kerja.</t>
  </si>
  <si>
    <t>1. Analisis Beban Kerja digunakan untuk memastikan kesesuaian jumlah pegawai dengan kebutuhan organisasi.
2. Ketepatan waktu pelaporan menunjukkan kepatuhan terhadap tata kelola kepegawaian dan efektivitas manajemen SDM.</t>
  </si>
  <si>
    <t>PMK Nomor 238/PMK.01/2020 Tahun 2020 tentang Perubahan atas PMK Nomor 175/PMK.01/2016 tentang Pedoman Pelaksanaan Analisis Beban Kerja (Workload Analysis) di Lingkungan Kementerian Keuangan</t>
  </si>
  <si>
    <t>- Laporan ABK;
- Nota Dinas Penyampaian Laporan ABK.</t>
  </si>
  <si>
    <t>PB53_Ketepatan Waktu Pengisian Volume Kerja dan Pelaporan Hasil ABK kepada Sekretariat DJPb</t>
  </si>
  <si>
    <t>Pelaksanaan Standardisasi Kegiatan Manajemen KPPN</t>
  </si>
  <si>
    <t>Penilaian dilakukan berdasarkan hasil evaluasi Aplikasi PETARAJA terhadap pelaksanaan Standar Kegiatan Manajemen (SKM) KPPN.
- Nilai 10
Rata-rata nilai SKM KPPN pada Aplikasi PETARAJA berada pada kategori Sangat Baik (≥90).
- Nilai 5
Rata-rata nilai SKM KPPN berada pada kategori Baik (80–89).
- Nilai 0
Rata-rata nilai SKM KPPN berada pada kategori Cukup atau Kurang (&lt;80).</t>
  </si>
  <si>
    <t>1. Penilaian SKM mencerminkan tingkat kepatuhan KPPN terhadap standar kegiatan manajerial yang ditetapkan DJPb.
2. Hasil penilaian menjadi dasar penyusunan perbaikan tata kelola dan peningkatan kualitas manajemen internal.</t>
  </si>
  <si>
    <t>Nota Dinas Sekretaris Direktorat Jenderal Perbendaharaan Nomor ND-2168/PB.1/2025 hal Standardisasi Kegiatan Manajemen Instansi Vertikal DJPb</t>
  </si>
  <si>
    <t>Tangkapan layar nilai rata-rata SKM pada Aplikasi Petaraja</t>
  </si>
  <si>
    <t>PB54_Nilai SKM Semester I 2026</t>
  </si>
  <si>
    <t xml:space="preserve">                                                  b</t>
  </si>
  <si>
    <t>Penyelesaian Layanan dan Administrasi Kepegawaian yang sesuai Prosedur</t>
  </si>
  <si>
    <t>Penilaian dilakukan terhadap kesesuaian pelaksanaan layanan dan administrasi kepegawaian (cuti, karpeg/karis/karsu, kenaikan pangkat, dan lainnya) dengan ketentuan dan prosedur yang berlaku berdasarkan hasil uji sampling.
- Nilai 10
Tidak ditemukan kesalahan prosedur dalam pelaksanaan layanan kepegawaian dan diselesaikan dengan tepat waktu
- Nilai 7
Ditemukan kesalahan prosedur dalam pelaksanaan layanan kepegawaian kurang dari 30%.
- Nilai 5
Ditemukan kesalahan prosedur dalam pelaksanaan layanan kepegawaian antara 30%–50%. 
- Nilai 0
Ditemukan kesalahan prosedur dalam pelaksanaan layanan kepegawaian lebih dari 50%.</t>
  </si>
  <si>
    <t>1. KPPN wajib memastikan seluruh layanan kepegawaian dilaksanakan sesuai ketentuan dan SOP administrasi kepegawaian.
2. Kesalahan prosedur menunjukkan lemahnya pengendalian mutu layanan internal yang harus segera diperbaiki.
3. Ketepatan dan kepatuhan prosedural mencerminkan kualitas tata kelola SDM di lingkungan KPPN.</t>
  </si>
  <si>
    <t>1. Peraturan Pemerintah Nomor 5 Tahun 2024 tentang Perubahan Kesembilan Belas Atas Peraturan Pemerintah Nomor 7 Tahun 1977 Tentang Peraturan Gaji Pegawai Negeri Sipil
2. Peraturan Kepala Badan Kepegawaian Negara Nomor 3 Tahun 2020 tentang Petunjuk Teknis Pemberhentian Pegawai Negeri Sipil
3. Keputusan Kepala BKN Nomor 12 Tahun 2002 Tentang Ketentuan Pelaksanaan Peraturan Pemerintah Nomor 99 Tahun 2000 Tentang Kenaikan Pangkat Pegawai Negeri Sipil Sebagaimana Telah Diubah Dengan Peraturan Pemerintah Nomor 12 Tahun 2002
4. Surat Edaran Menteri Keuangan Nomor SE-15/MK.1/2018 tentang Pelaksanaan Cuti PNS di Lingkungan Kementerian Keuangan
5. Surat Edaran Kepala Badan Kepegawaian Negara Nomor 16 Tahun 2022 tentang Kartu Aparatur Sipil Negara
6. Surat Edaran Kepala Badan Kepegawaian Negara Nomor 13 Tahun 2024 tentang Kartu Istri/Kartu Suami Aparatur Sipil Negara Virtual
7. Nota Dinas Sekretaris Ditjen Perbendaharaan Nomor ND 1011/PB.1/2022 hal Peningkatan Akurasi Data Sumber Daya Manusia pada Aplikasi Human Resources Information System di Lingkungan Direktorat Jenderal Perbendaharaan</t>
  </si>
  <si>
    <t>Sampling dokumen layanan kepegawaian.</t>
  </si>
  <si>
    <t>PB55_Penyelesaian Layanan dan Administrasi Kepegawaian yang sesuai Prosedur</t>
  </si>
  <si>
    <t>Digitalisasi Dokumen Kepegawaian</t>
  </si>
  <si>
    <t xml:space="preserve">Penilaian dilakukan terhadap tingkat kelengkapan dokumen kepegawaian pegawai KPPN yang diunggah pada Aplikasi PBN Open dan HRIS/Satu Kemenkeu.
- Nilai 10
Tingkat kelengkapan dokumen dalam aplikasi kepegawaian atas seluruh pegawai, 80% telah diisi lengkap 
- Nilai 7
Tingkat kelengkapan dokumen dalam aplikasi kepegawaian yang menjadi sampling, antara 50% s.d. &lt; 80% telah diisi lengkap 
- Nilai 5
Tingkat kelengkapan dokumen dalam aplikasi kepegawaian yang menjadi sampling, &lt;50% telah diisi lengkap 
- Nilai 0
Tingkat kelengkapan dokumen dalam aplikasi kepegawaian yang menjadi sampling, tidak diisi lengkap secara keseluruhan </t>
  </si>
  <si>
    <t>1. Digitalisasi dokumen kepegawaian mendukung transparansi dan efisiensi pengelolaan SDM.
2. KPPN wajib memastikan setiap pegawai memiliki data kepegawaian yang lengkap dan mutakhir di sistem.
3. Kelengkapan dokumen menjadi dasar validasi hak kepegawaian serta mendukung penilaian kinerja yang objektif.</t>
  </si>
  <si>
    <t>1. Surat Sekretaris Direktorat Jenderal Perbendaharaan Nomor S 6596/PB.1/2012 hal Updating Data Kepegawaian
2. Surat Edaran Menteri Keuangan Nomor SE-20/MK.1/2019 tentang Pelaksanaan Pemeliharaan Data SDM pada Human Resources Information System (HRIS) bagi Seluruh Pegawai di Lingkungan Kementerian Keuangan</t>
  </si>
  <si>
    <t>- Tangkapan layar hasil monitoring kelengkapan dokumen pada Aplikasi PBN Open;
- Daftar rekapitulasi status kelengkapan dokumen kepegawaian</t>
  </si>
  <si>
    <t>PB56_Digitalisasi Dokumen Kepegawaian</t>
  </si>
  <si>
    <t>Tingkat Standar Kompetensi Mansoskul Pegawai</t>
  </si>
  <si>
    <t>Penilaian dilakukan terhadap tingkat pemenuhan standar kompetensi pejabat dan pegawai KPPN berdasarkan data pada Aplikasi HRIS
- Nilai 10
86%–100% pegawai telah memenuhi standar kompetensi minimal sesuai jabatannya.
- Nilai 5
50%–85% pegawai telah memenuhi standar kompetensi minimal sesuai jabatannya.
- Nilai 0
Kurang dari 50% pegawai memenuhi standar kompetensi minimal.</t>
  </si>
  <si>
    <t>1. Pemenuhan standar kompetensi menunjukkan kesiapan dan profesionalisme pegawai dalam menjalankan fungsi perbendaharaan.
2. KPPN wajib melakukan pembinaan berkelanjutan terhadap kompetensi pegawai yang belum memenuhi standar berdasarkan hasil pemetaan kompetensi yang dilakukan oleh Bagian SDM Sekretariat Ditjen Perbendaharaan.
3. Tingkat kompetensi menjadi indikator utama efektivitas pengelolaan SDM dan kinerja unit.</t>
  </si>
  <si>
    <t>1. Peraturan Menteri Pendayagunaan Aparatur Negara dan Reformasi Birokrasi Nomor 38 Tahun 2017.
2. Keputusan Menteri Keuangan Nomor 504.1/KMK.01/2021 tentang Pengelolaan Penilaian Kompetensi Manajerial dan Sosial Kultural di Lingkungan Kementerian Keuangan</t>
  </si>
  <si>
    <t xml:space="preserve">- Tangkapan layar hasil monitoring kelengkapan dokumen pada Aplikasi PBN Open;
- Daftar rekapitulasi status kelengkapan dokumen kepegawaian
- Laporan JPM Pejabat dan Pegawai KPPN Menjadi: Laporan Hasil Assessment Center (LHAC) Pejabat dan Pegawai KPPN
- Hasil analisis kesenjangan (gap analysis) kompetensi jabatan pada Aplikasi PbnOpen </t>
  </si>
  <si>
    <t>PB57_Tingkat Standar Kompetensi Mansoskul Pegawai</t>
  </si>
  <si>
    <t>C. Manajemen Keuangan</t>
  </si>
  <si>
    <t>Pemenuhan Data Evaluasi Kinerja Anggaran KPPN Selaku Satker</t>
  </si>
  <si>
    <t>Penilaian dilakukan terhadap kelengkapan dan ketepatan waktu pengisian data evaluasi kinerja anggaran KPPN sebagai satker pada Aplikasi SMART DJA
- Nilai 10
Data pada Aplikasi SMART DJA telah terisi setiap bulan secara lengkap dan sesuai jadwal pelaporan yang ditetapkan
- Nilai 0
Data pada Aplikasi SMART DJA tidak terisi lengkap dan/atau tidak dilakukan secara periodik sesuai ketentuan.</t>
  </si>
  <si>
    <t>1. Pengisian data pada SMART DJA merupakan kewajiban satker sebagai bagian dari sistem monitoring dan evaluasi kinerja anggaran nasional.
2. KPPN wajib memastikan konsistensi, akurasi, dan ketepatan waktu pengisian sebagai dasar pengambilan kebijakan berbasis data oleh DJA dan DJPb.</t>
  </si>
  <si>
    <t>PMK No. 107 Tahun 2024 tentang Perubahan Atas Peraturan Menteri Keuangan Nomor 62 Tahun 2023 tentang Perencanaan Anggaran, Pelaksanaan Anggaran Serta Akuntansi dan Pelaporan Keuangan</t>
  </si>
  <si>
    <t>Tangkapan layar Aplikasi SMART DJA yang menunjukkan data terisi per bulan</t>
  </si>
  <si>
    <t>PB58_Tangkapan layar Aplikasi SMART DJA yang menunjukkan data terisi per bulan.pdf</t>
  </si>
  <si>
    <t>Pengisian Data Evaluasi Anggaran KPPN sebagai Satker pada Aplikasi
e-Monev Bappenas</t>
  </si>
  <si>
    <t xml:space="preserve">Penilaian dilakukan terhadap keterisian data pelaksanaan anggaran dan capaian output KPPN pada Aplikasi e-Monev Bappenas secara periodik setiap bulan
- Nilai 10
KPPN melakukan pengisian data evaluasi anggaran setiap bulan secara lengkap sesuai jadwal pelaporan e-Monev Bappenas
- Nilai 0
KPPN tidak melakukan pengisian data evaluasi anggaran setiap bulan atau datanya tidak lengkap. </t>
  </si>
  <si>
    <t>1. KPPN wajib melakukan pelaporan e-Monev Bappenas secara tepat waktu sebagai bentuk akuntabilitas kinerja pelaksanaan anggaran.
2. Data e-Monev digunakan sebagai instrumen evaluasi kinerja program pemerintah dan indikator capaian output kegiatan.</t>
  </si>
  <si>
    <t>1. Peraturan Menteri Negara Perencanaan Pembangunan Nasional/Kepala Badan Perencanaan Pembangunan Nasional Nomor 1 Tahun 2023 tentang Tata Cara Pemantauan, Pengendalian dan Evaluasi Pelaksanaan Rencana Pembangunan.
2. PMK No. 107 Tahun 2024 tentang Perubahan Atas Peraturan Menteri Keuangan Nomor 62 Tahun 2023 tentang Perencanaan Anggaran, Pelaksanaan Anggaran Serta Akuntansi dan Pelaporan Keuangan.</t>
  </si>
  <si>
    <t>Bukti pengisian data pada Aplikasi e-Monev Bappenas</t>
  </si>
  <si>
    <t>PB59_Pengisian Data Evaluasi Anggaran KPPN sebagai Satker pada Aplikasi</t>
  </si>
  <si>
    <t>Kebenaran pembayaran Uang Makan dan Uang Lembur</t>
  </si>
  <si>
    <t>Penilaian dilakukan terhadap kepatuhan KPPN sebagai satker dalam pembayaran Uang Makan (UM) dan Uang Lembur (UL), termasuk kelengkapan dan kebenaran dokumen pendukung
- Nilai 10
Pembayaran UM dan UL dilakukan sesuai ketentuan dan disertai dokumen pendukung yang lengkap.
- Nilai 0
Pembayaran UM dan UL tidak sesuai ketentuan dan/atau tidak disertai dokumen pendukung yang lengkap.</t>
  </si>
  <si>
    <t>1. KPPN wajib memastikan perhitungan dan pembayaran UM serta UL telah sesuai ketentuan tarif dan ketentuan perbendaharaan yang berlaku.
2. Dokumen pendukung (daftar hadir, surat perintah lembur, dan rekap jam kerja) harus lengkap dan sah untuk menjamin akuntabilitas belanja pegawai</t>
  </si>
  <si>
    <t>1. PMK Nomor 72/PMK.05/2016 tentang Uang Makan Bagi Pegawai Aparatur Sipil Negara.
2. PMK Nomor 182/PMK.05/2022 Tahun 2022 tentang Piloting Pembayaran dalam rangka Pelaksanaan Anggaran Pendapatan dan Belanja Negara melalui Platform Pembayaran Pemerintah.
3. PMK No. 107 Tahun 2024 tentang Perubahan Atas Peraturan Menteri Keuangan Nomor 62 Tahun 2023 tentang Perencanaan Anggaran, Pelaksanaan Anggaran Serta Akuntansi dan Pelaporan Keuangan.</t>
  </si>
  <si>
    <t>Dokumen pembayaran UM dan UL (SPM, SP2D, daftar hadir, Surat Perintah Kerja Lembur (SPKL), Surat Pernyataan Tanggungjawab Perintah Lembur (SPTPL), dan perhitungan pembayaran lembur)</t>
  </si>
  <si>
    <t>PB60_Kebenaran pembayaran Uang Makan dan Uang Lembur</t>
  </si>
  <si>
    <t>Kepatuhan Pembayaran Belanja Barang/Modal KPPN Selaku Satker</t>
  </si>
  <si>
    <t>Penilaian dilakukan terhadap kebenaran, kepatuhan, dan kelengkapan dokumen pembayaran belanja barang dan/atau modal oleh KPPN selaku satker.
- Nilai 10
Pembayaran belanja barang dan/atau modal dilakukan sesuai ketentuan dan didukung dokumen lengkap.
- Nilai 0
Pembayaran belanja barang dan/atau modal tidak sesuai ketentuan dan/atau tidak disertai dokumen pendukung yang lengkap.</t>
  </si>
  <si>
    <t>1. KPPN wajib memastikan seluruh proses pembayaran belanja barang dan modal telah melalui pengujian SPM sesuai ketentuan.
2. KPPN wajib memastikan penyelesaian tagihan kontraktual telah tepat waktu.
3. Kelengkapan dan kebenaran dokumen (kontrak, berita acara, kuitansi, bukti setoran pajak, dan lainnya) menjadi indikator kepatuhan pengelolaan keuangan KPPN satker pengelola APBN.</t>
  </si>
  <si>
    <t>1. PMK Nomor 171/PMK.05/2021 tentang Pelaksanaan Sistem SAKTI.
2. PMK Nomor 107 Tahun 2024 tentang Perubahan Atas Peraturan Menteri Keuangan Nomor 62 Tahun 2023 tentang Perencanaan Anggaran, Pelaksanaan Anggaran Serta Akuntansi dan Pelaporan Keuangan.
3. Kepdirjen Nomor KEP-116/PB/PB.1/2024 tentang Perubahan atas Kepdirjen Nomor KEP-244/PB/PB.1/2023 tentang Standar Operasional Prosedur pada KPPN.</t>
  </si>
  <si>
    <t>- Dokumen pembayaran SPM/SP2D.
- Berkas pendukung belanja (kontrak, kuitansi, berita acara, SSP, faktur pajak, dan bukti pengujian).</t>
  </si>
  <si>
    <t>PB61_Dokumen pembayaran SPM-SP2D dan berkas Pendukung.pdf</t>
  </si>
  <si>
    <t>D. Pengelolaan Tata Usaha dan Rumah Tangga</t>
  </si>
  <si>
    <t>Kepatuhan Pelaksanaan Perikatan oleh PPK</t>
  </si>
  <si>
    <t xml:space="preserve">Penilaian dilakukan terhadap kesesuaian pelaksanaan perikatan oleh PPK dengan ketentuan peraturan pengadaan barang/jasa pemerintah.
- Nilai 10 
Seluruh perikatan oleh PPK telah dilaksanakan sesuai dengan ketentuan pengadaan barang/jasa pemerintah.
- Nilai 0
Ditemukan ketidaksesuaian terhadap ketentuan pengadaan barang/jasa pemerintah. </t>
  </si>
  <si>
    <t>1. KPPN wajib memastikan setiap perikatan dilaksanakan sesuai ketentuan Perpres Pengadaan Barang/Jasa Pemerintah, termasuk pemenuhan dokumen perencanaan, spesifikasi, dan kontrak.
2. Kepatuhan terhadap prosedur perikatan menunjukkan tata kelola pengadaan yang transparan, efisien, dan akuntabel.</t>
  </si>
  <si>
    <t>1. Peraturan Presiden Nomor 16 Tahun 2018 tentang Pengadaan Barang/Jasa Pemerintah sebagaimana telah diubah terakhir dengan Peraturan Presiden Nomor 46 Tahun 2025.
2. Peraturan LKPP Nomor 12 Tahun 2021 tentang Pedoman Pelaksanaan Pengadaan Barang/Jasa Pemerintah melalui Penyedia</t>
  </si>
  <si>
    <t>- Dokumen kontrak perikatan oleh PPK;
- Berita acara hasil pemeriksaan atau evaluasi dokumen pengadaan</t>
  </si>
  <si>
    <t>PB62_Kepatuhan Pelaksanaan Perikatan oleh PPK.pdf</t>
  </si>
  <si>
    <t xml:space="preserve">Kepatuhan Pelaksanaan Perikatan oleh PPK
Digitalisasi Dokumen Pencairan Anggaran KPPN selaku Satker </t>
  </si>
  <si>
    <t>Penilaian dilakukan terhadap tingkat digitalisasi dokumen pencairan anggaran, baik dokumen komitmen maupun penyelesaian tagihan oleh KPPN selaku satker.
- Nilai 10
80–100% dokumen pencairan anggaran telah diarsipkan secara digital (cetakan aplikasi dan/atau hasil pemindaian)
- Nilai 5
50–79% dokumen pencairan anggaran telah diarsipkan secara digital (cetakan aplikasi dan/atau hasil pemindaian).
- Nilai 0
Kurang dari 50% dokumen pencairan anggaran telah diarsipkan secara digital.</t>
  </si>
  <si>
    <t>1. KPPN wajib melakukan digitalisasi dokumen untuk mendukung efisiensi, kemudahan akses, dan keamanan arsip keuangan.
2. Arsip digital menjadi dasar pengendalian intern dan pembuktian administrasi dalam audit atau rekonsiliasi data keuangan</t>
  </si>
  <si>
    <t>1. PMK Nomor 164/PMK.01/2021 tentang Pedoman Tata Naskah Dinas di Lingkungan Kementerian Keuangan.
2. Surat Edaran Direktur Jenderal Perbendaharaan Nomor SE-35/PB/2021 tentang Implementasi Tata Naskah Dinas Elektronik di Lingkungan DJPb</t>
  </si>
  <si>
    <t>- Tangkapan layar arsip digital dokumen pencairan anggaran;
- Daftar inventaris arsip elektronik KPPN</t>
  </si>
  <si>
    <t>PB63_Tangkapan layar arsip digital dokumen pencairan anggaran.rar</t>
  </si>
  <si>
    <t>Pengamanan dan Pemeliharaan BMN</t>
  </si>
  <si>
    <t>Penilaian dilakukan terhadap pelaksanaan kegiatan pengamanan dan pemeliharaan BMN sesuai pedoman yang berlaku di lingkungan Kementerian Keuangan.
- Nilai 10
80–100%  kegiatan pengamanan dan pemeliharaan BMN telah dilaksanakan sesuai pedoman.
- Nilai 5
50–79% kegiatan pengamanan dan pemeliharaan BMN sesuai pedoman
- Nilai 0
Kurang dari 50% kegiatan pengamanan dan pemeliharaan BMN sesuai pedoman.</t>
  </si>
  <si>
    <t>1. Pengamanan dan pemeliharaan BMN wajib dilakukan secara berkala untuk menjaga keutuhan, keberfungsian, dan nilai aset negara.
2. KPPN memastikan adanya dokumentasi kegiatan pemeliharaan dan laporan pengamanan sesuai standar pengelolaan BMN.</t>
  </si>
  <si>
    <t>1. PMK Nomor 153/PMK.06/2021 tentang Perencanaan Kebutuhan BMN
2. PMK Nomor 40 Tahun 2024 tentang Tata Cara Penggunaan Barang Milik Negara.
3. PMK Nomor 120 Tahun 2024 tentang 
Tata Cara Pengelolaan Barang Milik Negara yang Tidak Digunakan untuk Penyelenggaraan Tugas dan Fungsi Kementerian/ Lembaga</t>
  </si>
  <si>
    <t>Dokumen laporan pengamanan dan pemeliharaan BMN</t>
  </si>
  <si>
    <t>PB64_Dokumen laporan pengamanan dan pemeliharaan BMN.pdf</t>
  </si>
  <si>
    <t>Kesesuaian dengan Standarisasi Sarana Prasarana Kendaraan dan Peralatan</t>
  </si>
  <si>
    <t>dan prasarana KPPN dengan standardisasi kebutuhan jumlah, spesifikasi dan usia dan tidak terdapat aset yang berlebih baik yang digunakan/tidak digunakan (pengecualian aset berlebih tsb dalam kondisi rusak berat dan dalam proses penghapusan) dengan formula perhitungan:
((bobot Σ eksisting )/(standard Σ ))  +  ((rerata bobot spek)/(standard spek))  + ((rerata bobot usia)/(standard usia))
- Nilai 10
Total bobot kesesuaian standard &gt; 90
- Nilai 7
Total bobot kesesuaian standard 65-90
- Nilai 5
Total bobot kesesuaian standard 50-64
- Nilai 0
Total bobot kesesuaian standard &lt; 50</t>
  </si>
  <si>
    <t>1. KPPN wajib menjaga kondisi sarana dan prasarana sesuai standardisasi yang dapat mempengaruhi efektifitas pelaksnaan tusi.
2. Pemenuhan standar mendukung kenyamanan kerja, pelayanan prima, dan kesiapan pelaksanaan tugas operasional.
3. Ketertiban dalam menjaga keseimbangan siklus logistik aset khususnya antara perencanaan, pengadaan dan penghapusan
4. Meminimalisasi potensi temuan akibat aset yang melebihi standard (digunakan/tidak digunakan) namun tetap dicover biaya pemeliharaanya
5. Mengukur upaya proaktif dalam pemenuhan defisit ataupun penanganan aset berlebih</t>
  </si>
  <si>
    <t>1. Peraturan Menteri Keuangan Nomor 138 Tahun 2024 tentang Standar Barang dan Standar Kebutuhan Barang Milik Negara.
2. Keputusan Menteri Keuangan Nomor KMK 334/KMK.01/2021 tentang Pengelolaan Barang Milik Negara di Lingkungan Kementerian Keuangan.
3. Surat Edaran Direktur Jenderal Perbendaharaan Nomor SE-46/PB/2022 tentang Standardisasi Kebutuhan dan Masa Manfaat Peralatan dan Mesin Serta Standardisasi Luas Ruangan pada Instansi Vertikal DJPb.</t>
  </si>
  <si>
    <t>Kertas kerja kesesuaian sarpras</t>
  </si>
  <si>
    <t>PB65_Kesesuaian dengan Standarisasi Sarana Prasarana Kendaraan dan Peralatan</t>
  </si>
  <si>
    <t>Kesesuaian dengan Standarisasi Sarana Prasarana Ruang Kerja</t>
  </si>
  <si>
    <t>Penilaian dilakukan terhadap tingkat kesesuaian ketersediaan jenis dan luasan ruang dibandingkan standard dengan formula perhitungan
(Σ ruang )/(standard Σ ruang )  +  (rerata luas ruang)/(standard luas ruang)+optimalisasi/(luas underutilize)
- Nilai 10
Total bobot kesesuaian standard &gt; 90
- Nilai 7
Ketika total bobot kesesuaian standard 65-90
- Nilai 5
Ketika total bobot kesesuaian standard 50-64
- Nilai 0
Ketika total bobot kesesuaian standard &lt; 50</t>
  </si>
  <si>
    <t>1. KPPN wajib menjaga kondisi sarana dan prasarana sesuai standardisasi yang dapat mempengaruhi efektifitas pelaksnaan tusi.
2. Pemenuhan standar mendukung kenyamanan kerja, pelayanan prima, dan kesiapan pelaksanaan tugas operasional.
3. Penyediaan ruang kerja sesuai standard apabila terdapat kelebihan luasan (underutilize) upaya optimalisasi apa yang sudah ditempuh</t>
  </si>
  <si>
    <t>1. Kepdirjen Perbendaharaan Nomor KEP 97/PB/2021 tentang Buku Pedoman Standar Layout dan Desain Bangunan Instansi Vertikal DJPb.
2. Surat Edaran Direktur Jenderal Perbendaharaan Nomor SE-46/PB/2022 tentang Standardisasi Kebutuhan dan Masa Manfaat Peralatan dan Mesin Serta Standardisasi Luas Ruangan pada Instansi Vertikal DJPb.</t>
  </si>
  <si>
    <t xml:space="preserve">Kertas kerja kesesuaian standar sarpras ruang kerja </t>
  </si>
  <si>
    <t>PB66_Kertas kerja kesesuaian standar sarpras ruang kerja</t>
  </si>
  <si>
    <t>Kesesuaian dengan Standarisasi Sarana Prasarana Tempat Hunian Pegawai (Rumah/
Mess)</t>
  </si>
  <si>
    <t>Penilaian dilakukan terhadap tingkat kesesuaian jumlah dan peruntukan penghunian dengan formula perhitungan
Ketika jumlah tempat hunian &lt; standard
(Σ hunian )/(standard )-  (Σ penghuni tidak berhak)/(Σ hunian)  X 100
Ketika jumlah tempat hunian &gt; standard
(Σ hunian )/(standard )-  (Σ penghuni tidak berhak)/(Σ hunian)  X 100
- Nilai 10
Ketika total bobot kesesuaian standard 91 – 100
- Nilai 7
Ketika total bobot kesesuaian standard 65-90 dan/atau 101-125
- Nilai 5
Ketika total bobot kesesuaian standard 50-64 dan/atau 126-140
- Nilai 0
Ketika total bobot kesesuaian standard &lt; 50 dan/atau &gt; 140</t>
  </si>
  <si>
    <t>1. KPPN wajib menjaga kondisi sarana dan prasarana sesuai standardisasi yang dapat mempengaruhi efektifitas pelaksnaan tusi.
2. Pemenuhan standar mendukung kenyamanan kerja, pelayanan prima, dan kesiapan pelaksanaan tugas operasional.
3. Penyediaan hunian bagi pegawai harus diiringi dengan upaya penertiban bila dihuni oleh pihak tidak berhak ataupun optimalisasi penggunaan bersama dengan UE-1 lain bila jumlah berlebih</t>
  </si>
  <si>
    <t>1. Peraturan Menteri Keuangan Nomor 138 Tahun 2024 tentang Standar Barang dan Standar Kebutuhan Barang Milik Negara.
2. Keputusan Menteri Keuangan Nomor KMK 334/KMK.01/2021 tentang Pengelolaan Barang Milik Negara di Lingkungan Kementerian Keuangan.</t>
  </si>
  <si>
    <t>Kertas kerja kesesuaian standar sarpras tempat hunian pegawai</t>
  </si>
  <si>
    <t>PB67_Kertas kerja kesesuaian standar sarpras tempat hunian pegawai</t>
  </si>
  <si>
    <t>Validitas Data SIMKA</t>
  </si>
  <si>
    <t>Penilaian dilakukan terhadap kesesuaian data dengan kondisi aktual di lapangan dengan formula perhitungan
(Σ gedung+ Σ rumah+ Σ kendaraan+ Σ peralatan)/(data valid dan aktual )  X 100
- Nilai 10
Ketika total bobot kesesuaian standard &gt;90
- Nilai 7
Ketika total bobot kesesuaian standard 65-90
- Nilai 5
Ketika total bobot kesesuaian standard 50-64
- Nilai 0
Ketika total bobot kesesuaian standard &lt; 50</t>
  </si>
  <si>
    <t>1. Data SIMKA sebagai basis data penyusunan roadmap kebutuhan dan RKBMN yang validitasnya akan berpengaruh langsung terhadap pemenuhan kebutuhan sarpras
2. Fungsi dan tujuan data SIMKA bersifat manjerial, berbeda dengan aplikasi aset lainnya yang bersifat pendukung operasional dan proses bisnis serta pelaporan</t>
  </si>
  <si>
    <t>- Kertas kerja validasi
- Surat pernyataan validitas data tingkat pembina eselon III (KPPN) yang divalidasi oleh tingkat Pembina eselon II (Kanwil)</t>
  </si>
  <si>
    <t>PB68_Validasi Aplikasi SIMKA</t>
  </si>
  <si>
    <t>E. Kepatuhan Internal</t>
  </si>
  <si>
    <t xml:space="preserve">Pengelolaan Manajemen Risiko </t>
  </si>
  <si>
    <t>Penilaian dilakukan terhadap pelaksanaan identifikasi, pemantauan, dan evaluasi risiko yang dilakukan oleh KPPN serta penyampaian laporan triwulanan.
- Nilai 10
KPPN melaksanakan identifikasi, pemantauan, dan evaluasi risiko secara triwulanan dengan laporan lengkap dan sesuai ketentuan.
- Nilai 5
KPPN melaksanakan identifikasi, pemantauan, dan evaluasi risiko secara triwulanan, namun laporan belum lengkap atau belum sepenuhnya sesuai ketentuan.
- Nilai 0
KPPN tidak melaksanakan atau tidak melaporkan kegiatan manajemen risiko secara triwulanan sesuai ketentuan.</t>
  </si>
  <si>
    <t>1. KPPN wajib mengidentifikasi dan mengevaluasi risiko secara berkala untuk meminimalkan potensi gangguan terhadap pencapaian tujuan organisasi.
2. Pelaporan manajemen risiko menjadi dasar pengambilan keputusan dan pembinaan mitigasi risiko oleh Kanwil DJPb</t>
  </si>
  <si>
    <t>1. PMK Nomor 222/PMK.01/2021 Tahun 2021 tentang Manajemen Risiko Pengelolaan Keuangan Negara.
2. KMK Nomor 105/KMK.01/2022 tentang Petunjuk Pelaksanaan Manajemen Risiko Pengelolaan Keuangan Negara.
3. Kepdirjen Perbendaharaan Nomor KEP-252/PB/2022 tantang Petunjuk Teknis Pelaksanaan Manajemen Risiko Pengelolaan Keuangan Negara untuk Risiko Organisasi di Lingkungan Direktorat Jenderal Perbendaharaan</t>
  </si>
  <si>
    <t>Laporan pelaksanaan identifikasi, pemantauan, dan evaluasi risiko yang dilakukan oleh KPPN periode triwulanan</t>
  </si>
  <si>
    <t>PB69_Manajemen Risiko.pdf</t>
  </si>
  <si>
    <t>Tindak lanjut atas Temuan Aparat Pemeriksa (BPK, Itjen, dll)</t>
  </si>
  <si>
    <t>Penilaian dilakukan terhadap hasil pemeriksaan oleh aparat pengawasan internal dan eksternal (BPK, Itjen, atau lembaga pemeriksa lainnya) serta tindak lanjut yang dilakukan oleh KPPN.
- Nilai 10
Tidak terdapat temuan administratif maupun substantif dari hasil pemeriksaan aparat pemeriksa.
- Nilai 8
Terdapat temuan administratif atau substantif, namun telah ditindaklanjuti secara tepat waktu sesuai rekomendasi pemeriksa.
- Nilai 5
Terdapat temuan administratif atau substantif, namun telah ditindaklanjuti sesuai rekomendasi pemeriksa.
- Nilai 0
Terdapat temuan administratif atau substantif yang belum atau tidak ditindaklanjuti sesuai rekomendasi pemeriksa.</t>
  </si>
  <si>
    <t>1. KPPN wajib menindaklanjuti seluruh temuan hasil pemeriksaan secara tepat waktu dan terdokumentasi.
2. Ketaatan pada rekomendasi pemeriksa menunjukkan komitmen terhadap akuntabilitas, transparansi, dan perbaikan tata kelola.</t>
  </si>
  <si>
    <t>PMK Nomor 124 Tahun 2024 tentang Organisasi dan Tata Kerja Kementerian Keuangan</t>
  </si>
  <si>
    <t>Laporan tindak lanjut temuan pemeriksaan (apabila ada).</t>
  </si>
  <si>
    <t>PB70_Tindak Lanjut Atas Temuan Aparat.pdf</t>
  </si>
  <si>
    <t>Pengelolaan Pengaduan</t>
  </si>
  <si>
    <t>Penilaian dilakukan terhadap pengelolaan pengaduan masyarakat melalui kanal resmi (email, kotak pengaduan, LAPOR!, atau kanal lainnya) serta tindak lanjut yang dilakukan KPPN.
- Nilai 10
KPPN memiliki petugas pengelola pengaduan, mekanisme penanganan yang jelas, serta dokumentasi pengelolaan pengaduan yang lengkap dan tertata.
- Nilai 5
Seluruh pengaduan ditindaklanjuti secara tuntas, disertai bukti/dokumen hasil tindak lanjut yang lengkap, namun laporan pengaduan tidak disampaikan tepat waktu sesuai ketentuan.
- Nilai 0
KPPN belum menetapkan petugas dan/atau belum memiliki mekanisme pengelolaan pengaduan yang jelas.</t>
  </si>
  <si>
    <t>KPPN wajib menetapkan petugas dan mekanisme pengelolaan pengaduan secara formal serta memastikan seluruh kanal pengaduan berfungsi aktif</t>
  </si>
  <si>
    <t>1. PMK Nomor 205/PMK.09/2022 tentang Pengelolaan Pelaporan Pelanggaran dan Perlindungan Pelapor di Lingkungan Kementerian Keuangan.
2. Perdirjen Perbendaharaan Nomor PER-3/PB/2013 tentang Pengelolaan Pengaduan di Lingkungan DJPb.
3. Kepdirjen Nomor KEP-57/PB/2023 tentang Standar Pelayanan DJPB
4. Kepdirjen Nomor KEP-116/PB/PB.1/2024 tentang Perubahan atas Kepdirjen Nomor KEP-244/PB/PB.1/2023 tentang Standar Operasional Prosedur pada KPPN</t>
  </si>
  <si>
    <t>- SK Petugas Pengelola Pengaduan;
- SOP/ Mekanisme penanganan pengaduan;</t>
  </si>
  <si>
    <t>PB71_SK dan SOP Petugas Pengelola Pengaduan.pdf</t>
  </si>
  <si>
    <t>Upaya Tindak Lanjut Pengaduan</t>
  </si>
  <si>
    <t>Penilaian dilakukan terhadap tindak lanjut atas pengaduan masyarakat yang diterima melalui kanal resmi KPPN seperti email, aplikasi LAPOR!, kotak pengaduan, atau kanal resmi lainnya.
- Nilai 10
Seluruh pengaduan ditindaklanjuti secara tuntas dan tepat waktu, disertai bukti/dokumen hasil tindak lanjut yang lengkap.
- Nilai 0
Tidak terdapat tindak lanjut atas pengaduan yang diterima dan/atau tidak ada bukti laporan tindak lanjut yang dapat ditunjukkan.</t>
  </si>
  <si>
    <t>1. KPPN wajib memastikan setiap pengaduan ditangani sesuai prosedur dan ditindaklanjuti hingga tuntas dengan hasil yang terdokumentasi.
2. Ketepatan waktu dan kualitas tindak lanjut pengaduan menjadi cerminan responsivitas serta integritas layanan publik.
3. Pelaporan hasil tindak lanjut harus terintegrasi dengan sistem pemantauan pengaduan di lingkungan Kementerian Keuangan</t>
  </si>
  <si>
    <t>- Laporan rekapitulasi tindak lanjut pengaduan;
- Bukti penyelesaian pengaduan (BA, surat balasan, atau tanggapan pada sistem).</t>
  </si>
  <si>
    <t>PB72_Upaya Tindak Lanjut Pengaduan</t>
  </si>
  <si>
    <t>F. Peningkatan Keterbukaan Informasi Publik dan Kehumasan</t>
  </si>
  <si>
    <t>Pembaharuan Konten pada Website dan Media Sosial KPPN</t>
  </si>
  <si>
    <t>Penilaian dilakukan terhadap konsistensi dan frekuensi pembaruan konten pada kanal resmi KPPN, baik website maupun media sosial, sesuai standar keterbukaan informasi publik di lingkungan Kementerian Keuangan.
- Nilai 10
KPPN melakukan pembaruan secara rutin dan konsisten setiap bulan pada website dan media sosial resmi KPPN.
- Nilai 5
KPPN melakukan pembaruan secara rutin kurang dari satu bulan sekali pada salah satu kanal resmi (website atau media sosial).
- Nilai 0
KPPN tidak melakukan pembaruan konten secara rutin dan/atau pembaruan dilakukan kurang dari satu kali per triwulan.</t>
  </si>
  <si>
    <t>1. KPPN wajib memperbarui konten website dan media sosial secara berkala dengan informasi yang akurat, relevan, dan bernilai publik.
2. Pembaruan mencakup publikasi berita, edukasi fiskal, layanan, dan informasi kegiatan KPPN yang mendukung transparansi dan akuntabilitas.
3. Frekuensi dan kualitas pembaruan mencerminkan komitmen KPPN terhadap prinsip keterbukaan informasi publik dan layanan prima kepada masyarakat.</t>
  </si>
  <si>
    <t>1. Peraturan Menteri Keuangan PMK Nomor 60/PMK.01/2022 tentang Perubahan atas PMK Nomor 83/PMK.01/2018 tentang Pejabat Pengelola Informasi dan Dokumentasi di Lingkungan Kementerian Keuangan.
2. PMK Nomor 133/PMK.01/2022 tentang Tata Kelola Teknologi Informasi dan Komunikasi di Lingkungan Kemenkeu.
3. KMK Nomor 222 Tahun 2023 tentang Pedoman Pengelolaan Komunikasi Kementerian Keuangan.
4. Perdirjen Perbendaharaan Nomor PER-1/PB/2021 tentang Kebijakan Sistem Manajemen Keamanan Informasi di Lingkungan DJPb.</t>
  </si>
  <si>
    <t>- Tangkapan layar pembaruan konten website/ media sosial per bulan;
- Jadwal unggahan konten dan dokumentasi publikasi informasi</t>
  </si>
  <si>
    <t>PB73_Screenshot Pembaruan Konten Media Sosial dan Website.pdf</t>
  </si>
  <si>
    <t>Keterlibatan KPPN dalam Penguatan Brand Image DJPb di Wilayah Kerja</t>
  </si>
  <si>
    <t>Penilaian dilakukan terhadap partisipasi aktif KPPN dalam kegiatan sosial, edukatif, kemasyarakatan, atau publikasi yang memperkuat citra positif Direktorat Jenderal Perbendaharaan (DJPb) di wilayah kerja.
- Nilai 10
KPPN melaksanakan atau berpartisipasi aktif dalam kegiatan yang secara langsung memperkuat citra positif DJPb di masyarakat. 
- Nilai 0
KPPN tidak memiliki keterlibatan dalam kegiatan kemasyarakatan dan/atau tidak terdapat upaya yang menampilkan peran dan citra positif DJPb di masyarakat.</t>
  </si>
  <si>
    <t>1. KPPN berperan sebagai representasi DJPb di daerah melalui kegiatan sosial, edukasi publik, atau publikasi yang meningkatkan kepercayaan masyarakat terhadap pengelolaan APBN.
2. Kegiatan dapat berupa partisipasi dalam edukasi fiskal, literasi keuangan, aksi sosial, atau publikasi yang menonjolkan nilai-nilai Kemenkeu Satu dan semangat Treasury.
3. Keterlibatan ini menunjukkan kontribusi nyata KPPN dalam membangun citra DJPb sebagai institusi yang transparan, inklusif, dan melayani.</t>
  </si>
  <si>
    <t>- Dokumentasi kegiatan sosial, edukatif, atau publikasi media terkait.
- Bukti publikasi (artikel, unggahan media sosial, atau pemberitaan lokal</t>
  </si>
  <si>
    <t>PB74_Dokumentasi kegiatan edukatif dan bukti publikasi.pdf</t>
  </si>
  <si>
    <t>Pelaksanaan Efektivitas Employee Advocacy</t>
  </si>
  <si>
    <t>Penilaian dilakukan terhadap partisipasi aktif pegawai KPPN melalui media sosial masing-masing terhadap amplifikasi untuk mendukung amplifikasi konten Kementerian Keuangan sebagai bagian dari employee engagement melalui penghitungan tingkat jumlah pegawai yang berpartisipasi sesuai topik proaktif agenda setting yang ditetapkan.
- Nilai 10
KPPN melaksanakan atau berpartisipasi aktif dalam program employee advocacy sebesar 90%-100% jumlah pegawai. 
- Nilai 8
KPPN melaksanakan atau berpartisipasi aktif dalam program employee advocacy minimal 60%-89% jumlah pegawai.
- Nilai 7
KPPN melaksanakan atau berpartisipasi aktif dalam program employee advocacy minimal 40%-59% jumlah pegawai.
- Nilai 0
KPPN tidak memiliki keterlibatan dalam program employee advocacy.</t>
  </si>
  <si>
    <t>1. KPPN selaku Kuasa BUN di daerah perlu menyampaikan informasi terkait kebijakan, tujuan dan program pengelolaan APBN kepada masyarakat luas melalui kampanye komunikasi yang efektif, tepat sasaran dan berdampak terhadap peningkatan pengetahuan, dukungan, dan partisipasi publik. 
2. Komunikasi publik dilakukan juga agar dapat memberi dampak positif dan tepat sasaran sehingga peningkatan dukungan publik terhadap kebijakan di bidang keuangan negara mendapatkan kepercayaan dan dukungan publik.</t>
  </si>
  <si>
    <t>1. KMK Nomor 222 Tahun 2023 tentang Pedoman Pengelolaan Komunikasi Kementerian Keuangan.
2. Surat Edaran Menteri Keuangan Nomor SE-16/MK.01/2018 tentang Panduan Aktivitas dan Penggunaan Media Sosial Bagi Pegawai Kementerian Keuangan RI.</t>
  </si>
  <si>
    <t>Tingkat partisipasi aktif  pegawai dalam program employee advocacy</t>
  </si>
  <si>
    <t>PB75_Tingkat partisipasi aktif pegawai dalam program employee advocacy.pdf</t>
  </si>
  <si>
    <t>G. Inovasi dan Prestasi</t>
  </si>
  <si>
    <t>Penyusunan dan Pelaporan Inovasi KPPN</t>
  </si>
  <si>
    <t xml:space="preserve">Penilaian dilakukan terhadap proses penetapan dan pelaporan inovasi di lingkungan KPPN, meliputi SK Inovasi, proposal inovasi, serta pendaftaran inovasi pada Katalog Inovasi Satu Kemenkeu
- Nilai 10
KPPN telah menetapkan SK Inovasi disertai proposal inovasi pada tahun berkenaan dan inovasi telah terdaftar pada Katalog Inovasi Satu Kemenkeu.
- Nilai 5
KPPN telah menetapkan SK Inovasi dan proposal inovasi pada tahun berkenaan namun belum terdaftar pada Katalog Inovasi Satu Kemenkeu.
- Nilai 0
KPPN tidak melakukan penetapan SK Inovasi </t>
  </si>
  <si>
    <t>1. Penetapan inovasi disertai proposal menjadi bentuk komitmen KPPN dalam mendukung budaya inovatif dan continuous improvement.
2. Pendaftaran inovasi pada Katalog Inovasi Satu Kemenkeu memastikan validasi dan keterpaduan inovasi di lingkungan Kemenkeu.
3. Inovasi wajib terdokumentasi dan dilaporkan secara formal melalui kanal resmi untuk menjamin akuntabilitas dan keberlanjutan.</t>
  </si>
  <si>
    <t>Keputusan Menteri Keuangan Nomor 1005/KM.1/2022 tentang Pedoman Pengelolaan Inovasi di Lingkungan Kementerian Keuangan, perlu menetapkan Keputusan Sekretaris Jenderal tentang Pedoman Pengelolaan Ide Inovasi di Lingkungan Sekretariat Jenderal</t>
  </si>
  <si>
    <t>- SK Penetapan Inovasi dan proposal inovasi tahun berjalan;
- Bukti pendaftaran inovasi pada Katalog Inovasi Satu Kemenkeu (ND ke Setditjen Perbendaharaan).</t>
  </si>
  <si>
    <t>PB76_Penyusunan dan Pelaporan Inovasi KPPN</t>
  </si>
  <si>
    <t>Keberlanjutan Inovasi</t>
  </si>
  <si>
    <t>Penilaian dilakukan terhadap pengelolaan inovasi KPPN yang meliputi pemanfaatan, evaluasi, dan pengembangan inovasi yang telah ditetapkan.
- Nilai 10 
KPPN secara aktif mengelola inovasi melalui kegiatan pemanfaatan, pemantauan, evaluasi, dan pengembangan dengan bukti dukung yang lengkap.
- Nilai 5
KPPN memanfaatkan atau menggunakan inovasi yang dimiliki tanpa kegiatan pengembangan atau evaluasi lanjutan.
- Nilai 0
Tidak terdapat kegiatan pengelolaan inovasi (inovasi tidak dimanfaatkan atau tidak digunakan).</t>
  </si>
  <si>
    <t>1. Keberlanjutan inovasi menjamin efektivitas inovasi.
2. Evaluasi dan pengembangan inovasi wajib dilaksanakan secara periodik untuk memastikan inovasi tetap relevan dan memberi dampak nyata.
3. Pengelolaan inovasi menjadi bukti konsistensi KPPN dalam mendukung tata kelola berkinerja tinggi berbasis inovasi.</t>
  </si>
  <si>
    <t>- Laporan evaluasi dan pengembangan inovasi;
-Dokumentasi hasil pemanfaatan atau pengukuran dampak inovasi.</t>
  </si>
  <si>
    <t>PB77_Keberlanjutan Inovasi</t>
  </si>
  <si>
    <t>Keberman-faatan Inovasi /Direplikasi Pihak Lain</t>
  </si>
  <si>
    <t xml:space="preserve">Penilaian dilakukan terhadap sejauh mana inovasi KPPN memberi manfaat luas dan diadopsi atau direplikasi oleh pihak eksternal.
- Nilai 10
KPPN telah melakukan sosialisasi atau promosi inovasi kepada pihak eksternal, dan inovasi tersebut telah direplikasi oleh pihak lain dengan bukti dukung memadai.
- Nilai 5
KPPN melakukan sosialisasi atau promosi inovasi kepada pihak eksternal disertai bukti dukung yang memadai namun belum direplikasi. 
- Nilai 0
Tidak terdapat upaya sosialisasi atau promosi atas inovasi yang dimiliki. </t>
  </si>
  <si>
    <t>1. Kebermanfaatan inovasi diukur dari sejauh mana inovasi memberi nilai tambah dan mampu diadopsi oleh pihak lain (internal DJPb maupun instansi eksternal).
2.Sosialisasi inovasi menunjukkan peran aktif KPPN dalam membangun knowledge sharing ecosystem di lingkungan Kemenkeu.
3. Replikasi inovasi memperluas dampak positif dan memperkuat posisi KPPN sebagai pelopor praktik baik (best practice).</t>
  </si>
  <si>
    <t>- Laporan evaluasi dan pengembangan inovasi;
- Dokumentasi hasil pemanfaatan atau pengukuran dampak inovasi.
- Bukti sosialisasi/promosi inovasi (laporan kegiatan, publikasi, atau berita media);
- Surat keterangan/referensi pihak lain atas replikasi inovasi.</t>
  </si>
  <si>
    <t>PB78_Keberman-faatan Inovasi Direplikasi Pihak Lain</t>
  </si>
  <si>
    <t>Mempertahan-kan Prestasi atau Meningkatkan Capaian Prestasi dengan Prestasi Baru</t>
  </si>
  <si>
    <t xml:space="preserve">Penilaian dilakukan terhadap capaian prestasi KPPN baik dalam mempertahankan prestasi sebelumnya maupun memperoleh prestasi baru pada tahun berjalan.
- Nilai 10
KPPN mempertahankan prestasi sebelumnya dan/atau meraih prestasi baru dengan bukti dukung berupa naskah dinas atau sertifikat penghargaan.
- Nilai 0
Tidak terdapat prestasi yang dipertahankan maupun prestasi baru yang diraih oleh KPPN. </t>
  </si>
  <si>
    <t>1. Prestasi menjadi refleksi dari hasil kinerja unggul, inovasi berkelanjutan, dan kolaborasi tim yang efektif di lingkungan KPPN.
2. KPPN perlu mengintegrasikan capaian prestasi ke dalam sistem manajemen kinerja sebagai bentuk penguatan motivasi dan budaya kompetitif positif.
3. Pemeliharaan prestasi menunjukkan konsistensi KPPN dalam mewujudkan Treasury Excellence.</t>
  </si>
  <si>
    <t xml:space="preserve">KMK Nomor 300/KMK.01/2022 tentang Manajemen Kinerja di Lingkungan Kementerian Keuangan
</t>
  </si>
  <si>
    <t>- Sertifikat penghargaan, naskah dinas, atau dokumen pengakuan prestasi.
- Rekapitulasi capaian prestasi periode sebelumnya dan tahun berjalan.</t>
  </si>
  <si>
    <t>PB79_Mempertahan-kan Prestasi atau Meningkatkan Capaian Prestasi dengan Prestasi Baru</t>
  </si>
  <si>
    <t>RATA-RATA TOTAL NILAI</t>
  </si>
  <si>
    <t>Rata-rata nilai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</si>
</sst>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sz val="11"/>
      <color rgb="FF000000"/>
      <name val="Aptos Narrow"/>
      <scheme val="minor"/>
    </font>
    <font>
      <i/>
      <sz val="11"/>
      <color rgb="FF000000"/>
      <name val="Aptos Narrow"/>
      <scheme val="minor"/>
    </font>
    <font>
      <b/>
      <i/>
      <sz val="11"/>
      <color theme="1"/>
      <name val="Aptos Narrow"/>
      <family val="2"/>
      <scheme val="minor"/>
    </font>
    <font>
      <b/>
      <sz val="14"/>
      <color theme="1"/>
      <name val="Aptos Narrow"/>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theme="0" tint="-0.149998474074526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93">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1" fillId="2" borderId="2"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top" wrapText="1"/>
      <protection locked="0"/>
    </xf>
    <xf numFmtId="0" fontId="1" fillId="3" borderId="4" xfId="0" applyFont="1" applyFill="1" applyBorder="1" applyAlignment="1" applyProtection="1">
      <alignment horizontal="center" vertical="center" wrapText="1"/>
      <protection locked="0"/>
    </xf>
    <xf numFmtId="0" fontId="1" fillId="3" borderId="2" xfId="0" applyFont="1" applyFill="1" applyBorder="1" applyAlignment="1" applyProtection="1">
      <alignment horizontal="center" vertical="top" wrapText="1"/>
      <protection locked="0"/>
    </xf>
    <xf numFmtId="0" fontId="1" fillId="3" borderId="3" xfId="0" applyFont="1" applyFill="1" applyBorder="1" applyAlignment="1" applyProtection="1">
      <alignment horizontal="center" vertical="center" wrapText="1"/>
      <protection locked="0"/>
    </xf>
    <xf numFmtId="0" fontId="1" fillId="4" borderId="1" xfId="0" applyFont="1" applyFill="1" applyBorder="1" applyAlignment="1">
      <alignment horizontal="center" wrapText="1"/>
    </xf>
    <xf numFmtId="0" fontId="1" fillId="4" borderId="1" xfId="0" applyFont="1" applyFill="1" applyBorder="1" applyAlignment="1">
      <alignment horizontal="center" vertical="top" wrapText="1"/>
    </xf>
    <xf numFmtId="0" fontId="1" fillId="3" borderId="4" xfId="0" applyFont="1" applyFill="1" applyBorder="1" applyAlignment="1" applyProtection="1">
      <alignment horizontal="center" vertical="top" wrapText="1"/>
      <protection locked="0"/>
    </xf>
    <xf numFmtId="0" fontId="1" fillId="4" borderId="1" xfId="0" applyFont="1" applyFill="1" applyBorder="1" applyAlignment="1">
      <alignment horizontal="center" vertical="top" wrapText="1"/>
    </xf>
    <xf numFmtId="0" fontId="1" fillId="5" borderId="1" xfId="0" applyFont="1" applyFill="1" applyBorder="1" applyAlignment="1" applyProtection="1">
      <alignment horizontal="left" vertical="top"/>
      <protection locked="0"/>
    </xf>
    <xf numFmtId="0" fontId="0" fillId="5" borderId="2" xfId="0" applyFill="1" applyBorder="1" applyAlignment="1" applyProtection="1">
      <alignment horizontal="center" vertical="top"/>
      <protection locked="0"/>
    </xf>
    <xf numFmtId="0" fontId="0" fillId="5" borderId="3" xfId="0" applyFill="1" applyBorder="1" applyAlignment="1" applyProtection="1">
      <alignment horizontal="left" vertical="top" wrapText="1"/>
      <protection locked="0"/>
    </xf>
    <xf numFmtId="0" fontId="0" fillId="5" borderId="1" xfId="0" applyFill="1" applyBorder="1"/>
    <xf numFmtId="0" fontId="1" fillId="5" borderId="5" xfId="0" applyFont="1" applyFill="1" applyBorder="1" applyAlignment="1" applyProtection="1">
      <alignment horizontal="left" vertical="top"/>
      <protection locked="0"/>
    </xf>
    <xf numFmtId="0" fontId="0" fillId="0" borderId="1" xfId="0" applyBorder="1" applyAlignment="1" applyProtection="1">
      <alignment horizontal="center"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2" fillId="0" borderId="3" xfId="1" applyBorder="1" applyAlignment="1" applyProtection="1">
      <alignment vertical="top"/>
      <protection locked="0"/>
    </xf>
    <xf numFmtId="0" fontId="0" fillId="0" borderId="4" xfId="0" applyBorder="1" applyAlignment="1" applyProtection="1">
      <alignment horizontal="center" vertical="top"/>
      <protection locked="0"/>
    </xf>
    <xf numFmtId="0" fontId="0" fillId="0" borderId="2" xfId="0" applyBorder="1" applyAlignment="1">
      <alignment horizontal="center" vertical="top"/>
    </xf>
    <xf numFmtId="0" fontId="0" fillId="0" borderId="3" xfId="0" applyBorder="1" applyAlignment="1">
      <alignment horizontal="left" vertical="top" wrapText="1"/>
    </xf>
    <xf numFmtId="0" fontId="0" fillId="0" borderId="1" xfId="0" applyBorder="1" applyAlignment="1">
      <alignment horizontal="center" vertical="top"/>
    </xf>
    <xf numFmtId="0" fontId="2" fillId="0" borderId="6" xfId="1" applyBorder="1" applyAlignment="1" applyProtection="1">
      <alignment vertical="top"/>
      <protection locked="0"/>
    </xf>
    <xf numFmtId="0" fontId="0" fillId="5" borderId="2" xfId="0" applyFill="1" applyBorder="1" applyAlignment="1">
      <alignment horizontal="center" vertical="top"/>
    </xf>
    <xf numFmtId="0" fontId="0" fillId="5" borderId="3" xfId="0" applyFill="1" applyBorder="1" applyAlignment="1">
      <alignment horizontal="left" vertical="top" wrapText="1"/>
    </xf>
    <xf numFmtId="0" fontId="0" fillId="5" borderId="1" xfId="0" applyFill="1" applyBorder="1" applyAlignment="1">
      <alignment horizontal="center" vertical="top"/>
    </xf>
    <xf numFmtId="0" fontId="2" fillId="0" borderId="7" xfId="1" applyBorder="1" applyAlignment="1" applyProtection="1">
      <alignment vertical="top"/>
      <protection locked="0"/>
    </xf>
    <xf numFmtId="0" fontId="0" fillId="0" borderId="2" xfId="0" quotePrefix="1" applyBorder="1" applyAlignment="1" applyProtection="1">
      <alignment horizontal="left" vertical="top" wrapText="1"/>
      <protection locked="0"/>
    </xf>
    <xf numFmtId="0" fontId="2" fillId="0" borderId="0" xfId="1" applyAlignment="1" applyProtection="1">
      <alignment vertical="top"/>
      <protection locked="0"/>
    </xf>
    <xf numFmtId="1" fontId="0" fillId="0" borderId="4" xfId="0" applyNumberFormat="1" applyBorder="1" applyAlignment="1" applyProtection="1">
      <alignment horizontal="center" vertical="top"/>
      <protection locked="0"/>
    </xf>
    <xf numFmtId="0" fontId="2" fillId="0" borderId="7" xfId="1" applyBorder="1" applyAlignment="1" applyProtection="1">
      <alignment vertical="top" wrapText="1"/>
      <protection locked="0"/>
    </xf>
    <xf numFmtId="0" fontId="2" fillId="0" borderId="3" xfId="1" applyBorder="1" applyAlignment="1" applyProtection="1">
      <alignment vertical="top" wrapText="1"/>
      <protection locked="0"/>
    </xf>
    <xf numFmtId="0" fontId="1" fillId="5" borderId="8" xfId="0" applyFont="1" applyFill="1" applyBorder="1" applyAlignment="1" applyProtection="1">
      <alignment horizontal="left" vertical="top"/>
      <protection locked="0"/>
    </xf>
    <xf numFmtId="0" fontId="0" fillId="0" borderId="1" xfId="0" applyBorder="1" applyAlignment="1" applyProtection="1">
      <alignment horizontal="left" vertical="top"/>
      <protection locked="0"/>
    </xf>
    <xf numFmtId="0" fontId="0" fillId="0" borderId="3" xfId="0" applyBorder="1" applyAlignment="1" applyProtection="1">
      <alignment horizontal="left" vertical="top" wrapText="1"/>
      <protection locked="0"/>
    </xf>
    <xf numFmtId="0" fontId="0" fillId="5" borderId="9" xfId="0" applyFill="1" applyBorder="1" applyAlignment="1">
      <alignment horizontal="center" vertical="top"/>
    </xf>
    <xf numFmtId="0" fontId="0" fillId="5" borderId="7" xfId="0" applyFill="1" applyBorder="1" applyAlignment="1">
      <alignment horizontal="left" vertical="top" wrapText="1"/>
    </xf>
    <xf numFmtId="0" fontId="0" fillId="0" borderId="3" xfId="0" applyBorder="1" applyAlignment="1" applyProtection="1">
      <alignment horizontal="center" vertical="top"/>
      <protection locked="0"/>
    </xf>
    <xf numFmtId="0" fontId="0" fillId="0" borderId="3" xfId="0" applyBorder="1" applyAlignment="1">
      <alignment horizontal="center" vertical="top"/>
    </xf>
    <xf numFmtId="0" fontId="1" fillId="5" borderId="10" xfId="0" applyFont="1" applyFill="1" applyBorder="1" applyAlignment="1" applyProtection="1">
      <alignment horizontal="left" vertical="top"/>
      <protection locked="0"/>
    </xf>
    <xf numFmtId="0" fontId="0" fillId="5" borderId="11" xfId="0" applyFill="1" applyBorder="1" applyAlignment="1">
      <alignment horizontal="center" vertical="top"/>
    </xf>
    <xf numFmtId="0" fontId="0" fillId="5" borderId="6" xfId="0" applyFill="1" applyBorder="1" applyAlignment="1">
      <alignment horizontal="left" vertical="top" wrapText="1"/>
    </xf>
    <xf numFmtId="0" fontId="0" fillId="0" borderId="12" xfId="0" applyBorder="1" applyAlignment="1">
      <alignment horizontal="left" vertical="top" wrapText="1"/>
    </xf>
    <xf numFmtId="0" fontId="0" fillId="5" borderId="13" xfId="0" applyFill="1" applyBorder="1" applyAlignment="1">
      <alignment horizontal="center" vertical="top"/>
    </xf>
    <xf numFmtId="0" fontId="4" fillId="0" borderId="2" xfId="0" applyFont="1" applyBorder="1" applyAlignment="1" applyProtection="1">
      <alignment horizontal="left" vertical="top" wrapText="1"/>
      <protection locked="0"/>
    </xf>
    <xf numFmtId="0" fontId="1" fillId="5" borderId="2" xfId="0" applyFont="1" applyFill="1" applyBorder="1" applyAlignment="1" applyProtection="1">
      <alignment horizontal="left" vertical="top"/>
      <protection locked="0"/>
    </xf>
    <xf numFmtId="0" fontId="1" fillId="5" borderId="3" xfId="0" applyFont="1" applyFill="1" applyBorder="1" applyAlignment="1" applyProtection="1">
      <alignment horizontal="left" vertical="top"/>
      <protection locked="0"/>
    </xf>
    <xf numFmtId="0" fontId="0" fillId="5" borderId="4" xfId="0" applyFill="1" applyBorder="1" applyAlignment="1" applyProtection="1">
      <alignment horizontal="center" vertical="top"/>
      <protection locked="0"/>
    </xf>
    <xf numFmtId="0" fontId="1" fillId="5" borderId="14" xfId="0" applyFont="1" applyFill="1" applyBorder="1" applyAlignment="1" applyProtection="1">
      <alignment horizontal="left" vertical="top"/>
      <protection locked="0"/>
    </xf>
    <xf numFmtId="0" fontId="3" fillId="0" borderId="1" xfId="0" applyFont="1"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1" fillId="5" borderId="7" xfId="0" applyFont="1" applyFill="1" applyBorder="1" applyAlignment="1" applyProtection="1">
      <alignment horizontal="left" vertical="top"/>
      <protection locked="0"/>
    </xf>
    <xf numFmtId="0" fontId="1" fillId="5" borderId="6" xfId="0" applyFont="1" applyFill="1" applyBorder="1" applyAlignment="1" applyProtection="1">
      <alignment horizontal="left" vertical="top"/>
      <protection locked="0"/>
    </xf>
    <xf numFmtId="0" fontId="0" fillId="0" borderId="9" xfId="0" applyBorder="1" applyAlignment="1">
      <alignment horizontal="center" vertical="top"/>
    </xf>
    <xf numFmtId="0" fontId="0" fillId="0" borderId="5" xfId="0" applyBorder="1" applyAlignment="1">
      <alignment horizontal="center" vertical="top"/>
    </xf>
    <xf numFmtId="0" fontId="0" fillId="5" borderId="15" xfId="0" applyFill="1" applyBorder="1" applyAlignment="1" applyProtection="1">
      <alignment horizontal="center" vertical="top"/>
      <protection locked="0"/>
    </xf>
    <xf numFmtId="0" fontId="0" fillId="5" borderId="16" xfId="0" applyFill="1" applyBorder="1" applyAlignment="1">
      <alignment horizontal="center" vertical="top"/>
    </xf>
    <xf numFmtId="0" fontId="0" fillId="0" borderId="17" xfId="0" applyBorder="1"/>
    <xf numFmtId="0" fontId="0" fillId="5" borderId="3" xfId="0" applyFill="1" applyBorder="1" applyAlignment="1">
      <alignment horizontal="center" vertical="top"/>
    </xf>
    <xf numFmtId="0" fontId="0" fillId="0" borderId="2" xfId="0" applyBorder="1" applyAlignment="1" applyProtection="1">
      <alignment horizontal="left" vertical="top"/>
      <protection locked="0"/>
    </xf>
    <xf numFmtId="0" fontId="0" fillId="0" borderId="4" xfId="0" applyBorder="1" applyAlignment="1" applyProtection="1">
      <alignment horizontal="left" vertical="top"/>
      <protection locked="0"/>
    </xf>
    <xf numFmtId="0" fontId="0" fillId="0" borderId="9"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18" xfId="0" applyBorder="1" applyAlignment="1" applyProtection="1">
      <alignment horizontal="center" vertical="top"/>
      <protection locked="0"/>
    </xf>
    <xf numFmtId="0" fontId="0" fillId="0" borderId="11" xfId="0" applyBorder="1" applyAlignment="1">
      <alignment horizontal="center" vertical="top"/>
    </xf>
    <xf numFmtId="0" fontId="0" fillId="0" borderId="7" xfId="0" applyBorder="1" applyAlignment="1">
      <alignment horizontal="left" vertical="top" wrapText="1"/>
    </xf>
    <xf numFmtId="0" fontId="0" fillId="0" borderId="4" xfId="0" applyBorder="1"/>
    <xf numFmtId="0" fontId="0" fillId="0" borderId="1" xfId="0" applyBorder="1"/>
    <xf numFmtId="0" fontId="0" fillId="0" borderId="8" xfId="0" applyBorder="1" applyAlignment="1" applyProtection="1">
      <alignment horizontal="center" vertical="top"/>
      <protection locked="0"/>
    </xf>
    <xf numFmtId="0" fontId="0" fillId="0" borderId="8" xfId="0" applyBorder="1" applyAlignment="1" applyProtection="1">
      <alignment horizontal="left" vertical="top" wrapText="1"/>
      <protection locked="0"/>
    </xf>
    <xf numFmtId="0" fontId="0" fillId="0" borderId="13"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0" fillId="0" borderId="12" xfId="0" applyBorder="1" applyAlignment="1" applyProtection="1">
      <alignment horizontal="center" vertical="top"/>
      <protection locked="0"/>
    </xf>
    <xf numFmtId="0" fontId="0" fillId="0" borderId="19" xfId="0" applyBorder="1" applyAlignment="1" applyProtection="1">
      <alignment horizontal="center" vertical="top"/>
      <protection locked="0"/>
    </xf>
    <xf numFmtId="0" fontId="0" fillId="0" borderId="13" xfId="0" applyBorder="1" applyAlignment="1">
      <alignment horizontal="center" vertical="top"/>
    </xf>
    <xf numFmtId="0" fontId="0" fillId="0" borderId="6" xfId="0" applyBorder="1" applyAlignment="1">
      <alignment horizontal="left" vertical="top" wrapText="1"/>
    </xf>
    <xf numFmtId="0" fontId="0" fillId="0" borderId="8" xfId="0" applyBorder="1" applyAlignment="1">
      <alignment horizontal="center" vertical="top"/>
    </xf>
    <xf numFmtId="0" fontId="0" fillId="6" borderId="5" xfId="0" applyFill="1" applyBorder="1" applyAlignment="1" applyProtection="1">
      <alignment horizontal="center" vertical="top"/>
      <protection locked="0"/>
    </xf>
    <xf numFmtId="0" fontId="0" fillId="6" borderId="2" xfId="0" applyFill="1" applyBorder="1" applyAlignment="1">
      <alignment horizontal="center" vertical="top"/>
    </xf>
    <xf numFmtId="0" fontId="0" fillId="6" borderId="3" xfId="0" applyFill="1" applyBorder="1" applyAlignment="1">
      <alignment horizontal="left" vertical="top" wrapText="1"/>
    </xf>
    <xf numFmtId="0" fontId="0" fillId="6" borderId="1" xfId="0" applyFill="1" applyBorder="1" applyAlignment="1">
      <alignment horizontal="center" vertical="top"/>
    </xf>
    <xf numFmtId="0" fontId="1" fillId="5" borderId="3" xfId="0" applyFont="1" applyFill="1" applyBorder="1" applyAlignment="1">
      <alignment horizontal="center" vertical="top"/>
    </xf>
    <xf numFmtId="0" fontId="7" fillId="3" borderId="15" xfId="0" applyFont="1" applyFill="1" applyBorder="1" applyAlignment="1">
      <alignment horizontal="center" vertical="top"/>
    </xf>
    <xf numFmtId="0" fontId="7" fillId="3" borderId="3" xfId="0" applyFont="1" applyFill="1" applyBorder="1" applyAlignment="1">
      <alignment horizontal="left" vertical="top" wrapText="1"/>
    </xf>
    <xf numFmtId="0" fontId="1" fillId="5" borderId="1" xfId="0" applyFont="1" applyFill="1" applyBorder="1" applyAlignment="1">
      <alignment horizontal="center" vertical="center"/>
    </xf>
    <xf numFmtId="0" fontId="7" fillId="3" borderId="1" xfId="0" applyFont="1" applyFill="1" applyBorder="1" applyAlignment="1">
      <alignment horizontal="center" vertical="top"/>
    </xf>
    <xf numFmtId="0" fontId="0" fillId="0" borderId="0" xfId="0" applyAlignment="1">
      <alignment horizontal="left" vertical="top" wrapText="1"/>
    </xf>
    <xf numFmtId="0" fontId="0" fillId="0" borderId="0" xfId="0" applyAlignment="1">
      <alignment horizontal="center" vertical="top"/>
    </xf>
    <xf numFmtId="0" fontId="0" fillId="0" borderId="0" xfId="0"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kemenkeu.sharepoint.com/sites/DutaTransformasiSumbar2024-PembinaandanSupervisiKPPNSemesterI2026/Shared%20Documents/Pembinaan%20dan%20Supervisi%20KPPN%20Semester%20I%202026/KERTAS%20KERJA%20PENILAIAN%20KANWIL/ADMIN_Kertas%20Kerja%20Pembinaan%20dan%20Supervisi%20KPPN%20Semester%20I%202026_KPPN%20Bukittinggi.xlsx" TargetMode="External"/><Relationship Id="rId2" Type="http://schemas.microsoft.com/office/2019/04/relationships/externalLinkLongPath" Target="https://kemenkeu-my.sharepoint.com/sites/DutaTransformasiSumbar2024-PembinaandanSupervisiKPPNSemesterI2026/Shared%20Documents/Pembinaan%20dan%20Supervisi%20KPPN%20Semester%20I%202026/KERTAS%20KERJA%20PENILAIAN%20KANWIL/ADMIN_Kertas%20Kerja%20Pembinaan%20dan%20Supervisi%20KPPN%20Semester%20I%202026_KPPN%20Bukittinggi.xlsx?C780D1CC" TargetMode="External"/><Relationship Id="rId1" Type="http://schemas.openxmlformats.org/officeDocument/2006/relationships/externalLinkPath" Target="file:///\\C780D1CC\ADMIN_Kertas%20Kerja%20Pembinaan%20dan%20Supervisi%20KPPN%20Semester%20I%202026_KPPN%20Bukittingg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2Icy9hvzUiBgPcZENyDjFBVy2Ic6qtBvsXuzDfLDb24E5QdHVJ1RasTHFl9bM12" itemId="013WVFE7AFGHJ3NYDFQBCKXAL6GJ4DXWKH">
      <xxl21:absoluteUrl r:id="rId3"/>
    </xxl21:alternateUrls>
    <sheetNames>
      <sheetName val="ADMIN_KK PROBIS"/>
      <sheetName val="ADMIN_KK_Sarpras Mutu Layanan"/>
      <sheetName val="ADMIN_KK_Capaian Kinerja"/>
    </sheetNames>
    <sheetDataSet>
      <sheetData sheetId="0">
        <row r="5">
          <cell r="H5">
            <v>10</v>
          </cell>
          <cell r="J5" t="str">
            <v>Triwulan I :
Deviasi unit (30%) : 4,54
Deviasi nilai (70%) : 1,48
Deviasi s.d. Triwulan I : 2,40
Triwulan II :
Deviasi unit 30% : 0,83
Deviasi unit 70% : 2,63
Deviasi s.d. Triwulan II : 3,45
Rata2 deviasi = 2,93</v>
          </cell>
        </row>
        <row r="6">
          <cell r="H6">
            <v>10</v>
          </cell>
          <cell r="J6" t="str">
            <v>Ada bukti dukung tindakan dalam rangka meminimalisasi deviasi berupa kegiatan sharing session</v>
          </cell>
        </row>
        <row r="8">
          <cell r="H8">
            <v>10</v>
          </cell>
          <cell r="J8" t="str">
            <v>Ada bukti dukung dalam pelaksanaan kepatuhan SOP</v>
          </cell>
        </row>
        <row r="9">
          <cell r="H9">
            <v>10</v>
          </cell>
          <cell r="J9" t="str">
            <v>Dokumen lengkap sesuai ketentuan</v>
          </cell>
        </row>
        <row r="10">
          <cell r="H10">
            <v>10</v>
          </cell>
          <cell r="J10" t="str">
            <v>Terdapat 95 retur non retur TKD yang diselesaikan &lt;8 HK.
Mohon menambahkan monitoring retur sd Juni</v>
          </cell>
        </row>
        <row r="11">
          <cell r="H11">
            <v>10</v>
          </cell>
          <cell r="J11" t="str">
            <v xml:space="preserve">Terdapat bukti dukung yang menunjukkan prosedur penerbitan SP2B BLU telah sesuai SOP.
</v>
          </cell>
        </row>
        <row r="12">
          <cell r="H12">
            <v>10</v>
          </cell>
          <cell r="J12" t="str">
            <v xml:space="preserve">Terdapat bukti dukung yang menunjukkan prosedur penerbitan MPHL BJS, SPHL dan SP3HL telah sesuai SOP
</v>
          </cell>
        </row>
        <row r="14">
          <cell r="H14">
            <v>10</v>
          </cell>
          <cell r="J14" t="str">
            <v xml:space="preserve">Terdapat bukti dukung yang menunjukkan proses pendaftaran, perubahan dan penonaktifan data supplier telah sesuai SOP
</v>
          </cell>
        </row>
        <row r="15">
          <cell r="H15">
            <v>10</v>
          </cell>
          <cell r="J15" t="str">
            <v>Terdapat bukti dukung yang menunjukkan proses penonaktifan data pegawai dan data supplier dalam penerbitan SKPP telah sesuai SOP</v>
          </cell>
        </row>
        <row r="16">
          <cell r="H16">
            <v>10</v>
          </cell>
          <cell r="J16" t="str">
            <v>Terdapat bukti dukung yang menunjukkan pengelolaan data kontrak telah sesuai SOP</v>
          </cell>
        </row>
        <row r="17">
          <cell r="J17"/>
        </row>
        <row r="18">
          <cell r="H18">
            <v>7</v>
          </cell>
          <cell r="J18" t="str">
            <v>jan : 11
feb : 26
mar : 23
apr : 49
mei : 82
jun : 81
Mohon melampirkan monitoring transaksi KKP sd Juni 2026</v>
          </cell>
        </row>
        <row r="19">
          <cell r="H19">
            <v>10</v>
          </cell>
          <cell r="J19" t="str">
            <v>transaksi CMS triwulan I : 6806
transaksi CMS triwulan II : 16.303</v>
          </cell>
        </row>
        <row r="20">
          <cell r="J20"/>
        </row>
        <row r="21">
          <cell r="H21">
            <v>0</v>
          </cell>
          <cell r="J21" t="str">
            <v>Terdapat keterlambatan penyetoran UP sebesar 10.800 pada satker 401962 (setoran dilakukan pada tanggal 9 Januari 2026).</v>
          </cell>
        </row>
        <row r="22">
          <cell r="H22">
            <v>10</v>
          </cell>
          <cell r="J22" t="str">
            <v>Dokumen pendukung lengkap.
GUP terakhir yang diajukan tanggal 27-03-2026 merupakan SPM GUP PNBP.
Satker tidak dapat mengajukan GUP karena sampai dengan saat ini MP PNBP belum terbit, sehingga UP PNBP tidak bisa diajukan baik SPM Ganti Uang Persediaan maupun SPM Nihil UP</v>
          </cell>
        </row>
        <row r="24">
          <cell r="H24">
            <v>10</v>
          </cell>
          <cell r="J24" t="str">
            <v>Terdapat bukti dukung yang menunjukkan pembukaan dan penutupan rekening satker telah sesuai ketentuan</v>
          </cell>
        </row>
        <row r="25">
          <cell r="H25">
            <v>10</v>
          </cell>
          <cell r="J25" t="str">
            <v xml:space="preserve">Dokumen sesuai ketentuan
</v>
          </cell>
        </row>
        <row r="27">
          <cell r="H27">
            <v>10</v>
          </cell>
          <cell r="J27" t="str">
            <v>Terdapat bukti dukung yang menunjukkan proses verifikasi LPJ Bendahara telah sesuai SOP</v>
          </cell>
        </row>
        <row r="28">
          <cell r="H28">
            <v>10</v>
          </cell>
          <cell r="J28" t="str">
            <v>Sampai dengan bulan Mei 2026, seluruh penyampaian LPJ Bendahara telah dilakukan tepat waktu</v>
          </cell>
        </row>
        <row r="30">
          <cell r="H30">
            <v>10</v>
          </cell>
          <cell r="J30" t="str">
            <v>Terdapat bukti dukung yang menunjukkan KPPN telah menindaklanjuti to do list</v>
          </cell>
        </row>
        <row r="31">
          <cell r="H31">
            <v>10</v>
          </cell>
          <cell r="J31" t="str">
            <v>Terdapat bukti dukung yang menunjukkan  dalam proses tindak lanjut hasil analisa DTK SPAN, seluruh anomali telah ditindaklanjuti.
Mohon menambahkan lampiran berupa Laporan Analisis Keuangan BUN Bulan Maret, April, Mei 2026</v>
          </cell>
        </row>
        <row r="33">
          <cell r="H33">
            <v>10</v>
          </cell>
          <cell r="J33" t="str">
            <v>Terdapat bukti dukung yang menunjukkan penerbitan BA Peminjaman User SPAN/Sakti sudah diterbitkan sesuai ketentuan</v>
          </cell>
        </row>
        <row r="34">
          <cell r="H34">
            <v>10</v>
          </cell>
          <cell r="J34" t="str">
            <v>Terdapat bukti dukung yang menunjukkan pada sampel yang diambil  telah ditindaklanjuti dan dilengkapi dengan dokumen sesuai ketentuan</v>
          </cell>
        </row>
        <row r="35">
          <cell r="H35">
            <v>10</v>
          </cell>
          <cell r="J35" t="str">
            <v>Terdapat bukti dukung yang menunjukkan pada sampel yang diambil  telah ditindaklanjuti dan dilengkapi dengan dokumen sesuai ketentuan</v>
          </cell>
        </row>
        <row r="36">
          <cell r="H36">
            <v>10</v>
          </cell>
          <cell r="J36" t="str">
            <v>Terdapat bukti dukung yang menunjukkan SK Penunjukkan (KEP-31/WPB.03/2026), seluruh perangkat telah join domain dan sudah terdapat form penguatan keamanan informasi.</v>
          </cell>
        </row>
        <row r="38">
          <cell r="H38">
            <v>10</v>
          </cell>
          <cell r="J38" t="str">
            <v>Penyaluran Dana Desa telah dilakukan sesuai ketentuan (persentase penyaluran sd Juni 2026 : 51,48%)
Penyaluran DAK Fisik Tahap I masih dalam tahapan penyaluran dengan batas waktu upload dokumen syarat s.d 22 Juli 2026.</v>
          </cell>
        </row>
        <row r="40">
          <cell r="H40">
            <v>10</v>
          </cell>
          <cell r="J40" t="str">
            <v xml:space="preserve">Terdapat bukti dukung yang menunjukkan pecocokan data telah dilakukan 100% terhadap seluruh data debitur </v>
          </cell>
        </row>
        <row r="44">
          <cell r="H44">
            <v>10</v>
          </cell>
          <cell r="J44" t="str">
            <v>Analisis permasalahan telah dilakukan dengan menggunakan metode analisis tertentu yaitu fishbone diagram.
Mohon menambahkan lampiran yaitu laporan analisis periode Triwulan I 2026.</v>
          </cell>
        </row>
        <row r="46">
          <cell r="H46">
            <v>10</v>
          </cell>
          <cell r="J46" t="str">
            <v>Dokumen lengkap sesuai ketentuan</v>
          </cell>
        </row>
        <row r="48">
          <cell r="H48">
            <v>10</v>
          </cell>
          <cell r="J48" t="str">
            <v xml:space="preserve">Persentase tindak lanjut analisis &gt;80% dan Laporan PFK Semester II 2025 telah disampaikan secara tepat waktu. 
</v>
          </cell>
        </row>
        <row r="50">
          <cell r="H50">
            <v>10</v>
          </cell>
          <cell r="J50" t="str">
            <v>Jan: 5
Feb : 2
Mar :5
apr : 7
mei : 9
jun : 17
Rata-rata penyampaian &gt;4x sebulan
mohon menambahkan screenshot bulan april - juni</v>
          </cell>
        </row>
        <row r="55">
          <cell r="H55">
            <v>10</v>
          </cell>
          <cell r="J55" t="str">
            <v>KPPN telah melakukan upaya percepatan leveling sertifikasi melalui kegiatan Sosialisasi dan telah menyediakan monitoring data pejabat perbendaharaan tersertifikasi.</v>
          </cell>
        </row>
        <row r="56">
          <cell r="H56">
            <v>10</v>
          </cell>
          <cell r="J56" t="str">
            <v>Jumlah pejabat tersertifikasi sebesar 99%.
Dokumen lengkap.</v>
          </cell>
        </row>
        <row r="57">
          <cell r="H57">
            <v>10</v>
          </cell>
          <cell r="J57" t="str">
            <v>KPPN telah melakukan monev dan melakukan tindak lanjut atas hasil monev.</v>
          </cell>
        </row>
        <row r="59">
          <cell r="H59">
            <v>10</v>
          </cell>
          <cell r="J59" t="str">
            <v>Kegiatan telah dilaksanakan pada periode Triwulan I dan II 2026. Bukti dukung memadai.</v>
          </cell>
        </row>
        <row r="60">
          <cell r="H60">
            <v>10</v>
          </cell>
          <cell r="J60" t="str">
            <v>Kegiatan telah dilaksanakan pada periode Triwulan I dan II 2026. Bukti dukung memadai.</v>
          </cell>
        </row>
        <row r="62">
          <cell r="H62">
            <v>10</v>
          </cell>
          <cell r="J62" t="str">
            <v>Kegiatan telah dilaksanakan pada periode Triwulan I dan II 2026. Bukti dukung memadai.</v>
          </cell>
        </row>
        <row r="63">
          <cell r="H63">
            <v>10</v>
          </cell>
          <cell r="J63" t="str">
            <v>Penilaian sd periode triwulan I 2026. Seluruh tiket pada HaiCSO telah dijawab secara tepat waktu.</v>
          </cell>
        </row>
        <row r="65">
          <cell r="H65">
            <v>10</v>
          </cell>
          <cell r="J65" t="str">
            <v>Sesuai bukti dukung</v>
          </cell>
        </row>
        <row r="66">
          <cell r="H66">
            <v>10</v>
          </cell>
          <cell r="J66" t="str">
            <v>Telah dilaksanakan monev sesuai ketentuan.</v>
          </cell>
        </row>
        <row r="69">
          <cell r="H69">
            <v>10</v>
          </cell>
          <cell r="J69" t="str">
            <v>Kegiatan telah dilaksanakan pada periode Triwulan I dan II 2026. Bukti dukung memadai.</v>
          </cell>
        </row>
        <row r="70">
          <cell r="H70">
            <v>10</v>
          </cell>
          <cell r="J70" t="str">
            <v>Kegiatan telah dilaksanakan pada periode Triwulan I dan II 2026. Bukti dukung memadai.</v>
          </cell>
        </row>
        <row r="71">
          <cell r="H71">
            <v>10</v>
          </cell>
          <cell r="J71" t="str">
            <v>KPPN telah melakukan upaya/ tindak lanjut atas permasalahan pemda dan telah disertai bukti dukung yang memadai.</v>
          </cell>
        </row>
        <row r="73">
          <cell r="H73">
            <v>10</v>
          </cell>
          <cell r="J73" t="str">
            <v>Sudah dilampirkan kertas kerja monitoring Local Government Advisory Triwulan I dan II 2026.</v>
          </cell>
        </row>
        <row r="74">
          <cell r="H74">
            <v>10</v>
          </cell>
          <cell r="J74" t="str">
            <v>Telah dilaksanakan tindak lanjut atas hasil monev terkait local government advisory</v>
          </cell>
        </row>
        <row r="77">
          <cell r="H77">
            <v>10</v>
          </cell>
          <cell r="J77" t="str">
            <v>Sesuai bukti dukung</v>
          </cell>
        </row>
        <row r="78">
          <cell r="H78">
            <v>10</v>
          </cell>
          <cell r="J78" t="str">
            <v xml:space="preserve">Sesuai bukti dukung </v>
          </cell>
        </row>
        <row r="81">
          <cell r="H81">
            <v>10</v>
          </cell>
          <cell r="J81" t="str">
            <v>Mohon melengkapi Laporan Kegiatan/ notula kegiatan monev keuangan BLU Triwulan II 2026</v>
          </cell>
        </row>
        <row r="82">
          <cell r="H82">
            <v>10</v>
          </cell>
          <cell r="J82" t="str">
            <v>Sesuai bukti dukung</v>
          </cell>
        </row>
        <row r="83">
          <cell r="H83">
            <v>10</v>
          </cell>
          <cell r="J83" t="str">
            <v>KPPN telah memperoleh dan mengumpulkan data LK BUMD lebih dari 90%.</v>
          </cell>
        </row>
        <row r="84">
          <cell r="H84" t="str">
            <v>N/A</v>
          </cell>
          <cell r="J84" t="str">
            <v>Sehubungan dengan Manual IKU, pelaksanaan translasi kertas kerja dilaksanakan pada periode Triwulan III</v>
          </cell>
        </row>
        <row r="85">
          <cell r="H85">
            <v>10</v>
          </cell>
          <cell r="J85" t="str">
            <v xml:space="preserve">Sesuai bukti dukung
</v>
          </cell>
        </row>
        <row r="89">
          <cell r="H89">
            <v>10</v>
          </cell>
          <cell r="J89" t="str">
            <v>Mohon melampirkan dokumen NKO periode Triwulan I 2026</v>
          </cell>
        </row>
        <row r="90">
          <cell r="H90">
            <v>10</v>
          </cell>
          <cell r="J90" t="str">
            <v>Mohon melampirkan screenshot/ rekapitulasi monitoring pengunggahan dokumen pada aplikasi Intense periode Triwulan I 2026</v>
          </cell>
        </row>
        <row r="91">
          <cell r="H91">
            <v>10</v>
          </cell>
          <cell r="J91" t="str">
            <v>s.d. periode Maret 2026, DKRO telah dilaksanakan secara bulanan. Agar dapat diupdate data pelaksanaan DKRO s.d. periode Mei 2026.</v>
          </cell>
        </row>
        <row r="92">
          <cell r="H92">
            <v>10</v>
          </cell>
          <cell r="J92" t="str">
            <v>Bukti dukung sudah memadai berupa : Pedoman Mutu ISO 9001:2015, Konteks Organisasi 2026 dan Kebijakan Mutu</v>
          </cell>
        </row>
        <row r="93">
          <cell r="H93">
            <v>10</v>
          </cell>
          <cell r="J93" t="str">
            <v>Pengujian kepatuhan telah dilaksanakan minimal 1x setahun. Bukti dukung memadai.</v>
          </cell>
        </row>
        <row r="94">
          <cell r="H94">
            <v>10</v>
          </cell>
          <cell r="J94" t="str">
            <v>Laporan ABK disampaikan tanggal 6 April 2026</v>
          </cell>
        </row>
        <row r="95">
          <cell r="H95">
            <v>5</v>
          </cell>
          <cell r="J95" t="str">
            <v>Rata-rata nilai semester I :85</v>
          </cell>
        </row>
        <row r="97">
          <cell r="H97">
            <v>10</v>
          </cell>
          <cell r="J97" t="str">
            <v>Tidak ditemukan kesalahan prosedur dalam pelaksanaan layanan kepegawaian dan diselesaikan dengan tepat waktu</v>
          </cell>
        </row>
        <row r="98">
          <cell r="H98">
            <v>10</v>
          </cell>
          <cell r="J98" t="str">
            <v xml:space="preserve">Sesuai bukti dukung, tingkat kelengkapan dokumen dalam aplikasi kepegawaian atas seluruh pegawai lebih dari 80% telah diisi lengkap </v>
          </cell>
        </row>
        <row r="99">
          <cell r="H99">
            <v>10</v>
          </cell>
          <cell r="J99" t="str">
            <v>Terdapat 19 pegawai dari 21 pegawai yang memenuhi standar kompetensi minimal sesuai jabatan (capaian 90,48%).</v>
          </cell>
        </row>
        <row r="101">
          <cell r="H101">
            <v>10</v>
          </cell>
          <cell r="J101" t="str">
            <v>s.d. periode April 2026 SMART DJA telah diisi setiap bulan, agar data dapat dilengkapi sd periode Mei 2026.</v>
          </cell>
        </row>
        <row r="102">
          <cell r="H102">
            <v>10</v>
          </cell>
          <cell r="J102" t="str">
            <v>s.d. periode Maret 2026 E-Monev Bappenas telah diisi setiap bulan, agar data dapat dilengkapi sd periode Mei 2026.</v>
          </cell>
        </row>
        <row r="103">
          <cell r="H103">
            <v>10</v>
          </cell>
          <cell r="J103" t="str">
            <v>a. Mohon melengkapi dokumen UM dengan SPM, daftar hadir. 
b. Mohon melengkapi dokumen UL dengan SPM, SPKL , dan SPTPL.</v>
          </cell>
        </row>
        <row r="104">
          <cell r="H104">
            <v>10</v>
          </cell>
          <cell r="J104" t="str">
            <v>Sesuai bukti dukung, pembayaran belanja barang dan/atau modal dilakukan sesuai ketentuan dan didukung dokumen lengkap.</v>
          </cell>
        </row>
        <row r="106">
          <cell r="H106">
            <v>10</v>
          </cell>
          <cell r="J106" t="str">
            <v>Apabila tidak terdapat kontrak pengadaan barang/ jasa pada periode berkenaan, agar melampirkan dokumen SPK PPNPN.</v>
          </cell>
        </row>
        <row r="107">
          <cell r="H107">
            <v>10</v>
          </cell>
          <cell r="J107" t="str">
            <v>Sesuai bukti dukung, 80–100% dokumen pencairan anggaran telah diarsipkan secara digital (cetakan aplikasi dan/atau hasil pemindaian).
Mohon menambahkan lampiran berupa daftar inventaris arsip elektronik KPPN.</v>
          </cell>
        </row>
        <row r="108">
          <cell r="H108">
            <v>10</v>
          </cell>
          <cell r="J108" t="str">
            <v>Sesuai bukti dukung, 80–100%  kegiatan pengamanan dan pemeliharaan BMN telah dilaksanakan sesuai pedoman.</v>
          </cell>
        </row>
        <row r="109">
          <cell r="H109">
            <v>10</v>
          </cell>
          <cell r="J109" t="str">
            <v>Rata-rata skor kertas kerja peralatan : 93,76
Rata-rata skor kertas kerja kendaraan : 89,17
Bobot kesesuaian standar : 91,47
Mohon melampirkan file excel kertas kerja dan laporan barang audited 2025.</v>
          </cell>
        </row>
        <row r="110">
          <cell r="H110">
            <v>10</v>
          </cell>
          <cell r="J110" t="str">
            <v>Total bobot kesesuaian standar : 99,31.</v>
          </cell>
        </row>
        <row r="111">
          <cell r="H111">
            <v>10</v>
          </cell>
          <cell r="J111" t="str">
            <v>Sesuai bukti dukung.
Mohon melampirkan file excel kertas kerja dan bukti dukung berupa laporan barang periode Audited 2025.</v>
          </cell>
        </row>
        <row r="112">
          <cell r="H112">
            <v>10</v>
          </cell>
          <cell r="J112" t="str">
            <v>Dokumen pendukung lengkap dan sesuai.</v>
          </cell>
        </row>
        <row r="114">
          <cell r="H114">
            <v>10</v>
          </cell>
          <cell r="J114" t="str">
            <v>a.Sesuai bukti dukung, KPPN telah  melaksanakan identifikasi, pemantauan, dan evaluasi risiko pada tw1 2026
b. Mohon menambahkan lampiran laporan pemantauan risiko Triwulan I 2026.</v>
          </cell>
        </row>
        <row r="115">
          <cell r="H115">
            <v>10</v>
          </cell>
          <cell r="J115" t="str">
            <v>Sesuai bukti dukung, tidak ada temuan aparat pemeriksa</v>
          </cell>
        </row>
        <row r="116">
          <cell r="H116">
            <v>10</v>
          </cell>
          <cell r="J116" t="str">
            <v>Sudah terdapat SK Petugas Pengelola Pengaduan, agar menambahkan lampiran berupa SOP/ mekanisme pengelolaan pengaduan dan laporan pengaduan.</v>
          </cell>
        </row>
        <row r="117">
          <cell r="H117">
            <v>10</v>
          </cell>
          <cell r="J117" t="str">
            <v>Mohon menambahkan laporan pengaduan bulan April s.d Mei 2026.</v>
          </cell>
        </row>
        <row r="119">
          <cell r="H119">
            <v>10</v>
          </cell>
          <cell r="J119" t="str">
            <v>Mohon melampirkan tangkapan layar pembaruan konten bulan April s.d Juni pada instagram dan website.</v>
          </cell>
        </row>
        <row r="120">
          <cell r="H120">
            <v>10</v>
          </cell>
          <cell r="J120" t="str">
            <v>Dokumen pendukung lengkap dan sesuai.</v>
          </cell>
        </row>
        <row r="121">
          <cell r="H121">
            <v>10</v>
          </cell>
          <cell r="J121" t="str">
            <v>Mohon menambahkan laporan employee advocacy bulan April s.d. Mei 2026.</v>
          </cell>
        </row>
        <row r="123">
          <cell r="H123">
            <v>10</v>
          </cell>
          <cell r="J123" t="str">
            <v>Telah terdapat SK Penetapan Inovasi dan profil inovasi pada tahun berjalan, dan  inovasi telah terdaftar pada katalog inovasi satu kemenkeu</v>
          </cell>
        </row>
        <row r="124">
          <cell r="H124">
            <v>10</v>
          </cell>
          <cell r="J124" t="str">
            <v>Telah dilakukan evaluasi dan pengembangan inovasi atas seluruh inovasi pada KPPN.</v>
          </cell>
        </row>
        <row r="125">
          <cell r="H125">
            <v>10</v>
          </cell>
          <cell r="J125" t="str">
            <v>Mohon menambahkan lampiran berupa dokumentasi sosialisasi/ promosi inovasi kepada pihak lain.</v>
          </cell>
        </row>
        <row r="126">
          <cell r="H126">
            <v>10</v>
          </cell>
          <cell r="J126" t="str">
            <v>Sesuai bukti dukung</v>
          </cell>
        </row>
      </sheetData>
      <sheetData sheetId="1">
        <row r="8">
          <cell r="F8">
            <v>10</v>
          </cell>
        </row>
      </sheetData>
      <sheetData sheetId="2">
        <row r="6">
          <cell r="F6">
            <v>10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f:/s/DutaTransformasiSumbar2024-PembinaandanSupervisiKPPNSemesterI2026/IgBJHxwJ0DcoRZYNGdarVydoAY-k8Nyb54fH5s3b1QYoGf0?e=7ylQ4E" TargetMode="External"/><Relationship Id="rId21" Type="http://schemas.openxmlformats.org/officeDocument/2006/relationships/hyperlink" Target="../../../../../:f:/s/DutaTransformasiSumbar2024-PembinaandanSupervisiKPPNSemesterI2026/IgC7bTtiUrsaTZGAQgLy1VMKAQK00kQUbRYMnzCfS2uXu1g?e=UXDgEl" TargetMode="External"/><Relationship Id="rId42" Type="http://schemas.openxmlformats.org/officeDocument/2006/relationships/hyperlink" Target="../../../../../:b:/s/DutaTransformasiSumbar2024-PembinaandanSupervisiKPPNSemesterI2026/IQCVjb1RMyI4Q6ZpTDwPda9zAcZM3yy3XfbcImSrBFd160k?e=VahjYo" TargetMode="External"/><Relationship Id="rId47" Type="http://schemas.openxmlformats.org/officeDocument/2006/relationships/hyperlink" Target="../../../../../:f:/s/DutaTransformasiSumbar2024-PembinaandanSupervisiKPPNSemesterI2026/IgDEaCn7MlazT4kePMbfOspZAfwYvbaraL7RKVFjnnXj2Ns?e=CaIVCd" TargetMode="External"/><Relationship Id="rId63" Type="http://schemas.openxmlformats.org/officeDocument/2006/relationships/hyperlink" Target="../../../../../:f:/s/DutaTransformasiSumbar2024-PembinaandanSupervisiKPPNSemesterI2026/IgBp0tkAouuMQYEWh9ujaLlPAUHS_AjZhPZbc5a1gjI3XWA?e=qBv3cR" TargetMode="External"/><Relationship Id="rId68" Type="http://schemas.openxmlformats.org/officeDocument/2006/relationships/hyperlink" Target="../../../../../:f:/s/DutaTransformasiSumbar2024-PembinaandanSupervisiKPPNSemesterI2026/IgDHM3eGCzDAQIsb5h5oUJO4Af0XWJpndMkHWUql3CNbbW0?e=SvJyPZ" TargetMode="External"/><Relationship Id="rId84" Type="http://schemas.openxmlformats.org/officeDocument/2006/relationships/printerSettings" Target="../printerSettings/printerSettings1.bin"/><Relationship Id="rId16" Type="http://schemas.openxmlformats.org/officeDocument/2006/relationships/hyperlink" Target="../../../../../:u:/s/DutaTransformasiSumbar2024-PembinaandanSupervisiKPPNSemesterI2026/IQDOVk8ZQIORQZZxGNPGQUzfAWAjaku1pxzCDD47EJCluDY?e=kMIxlK" TargetMode="External"/><Relationship Id="rId11" Type="http://schemas.openxmlformats.org/officeDocument/2006/relationships/hyperlink" Target="../../../../../:b:/s/DutaTransformasiSumbar2024-PembinaandanSupervisiKPPNSemesterI2026/IQDG9jXSXPFvQ4XBG4hleP4MAfFOQZn0Asdfwd381akOsKM?e=D6eHzZ" TargetMode="External"/><Relationship Id="rId32" Type="http://schemas.openxmlformats.org/officeDocument/2006/relationships/hyperlink" Target="../../../../../:f:/s/DutaTransformasiSumbar2024-PembinaandanSupervisiKPPNSemesterI2026/IgDjzg9kq-ksQbTgV2ah9guiATuHKgadufeim77kErb0Xuw?e=w6ZHcc" TargetMode="External"/><Relationship Id="rId37" Type="http://schemas.openxmlformats.org/officeDocument/2006/relationships/hyperlink" Target="../../../../../:b:/s/DutaTransformasiSumbar2024-PembinaandanSupervisiKPPNSemesterI2026/IQDdqOT7HjaKSJohkKjhCAMlAdO5Td7LI8NSVTKb2h_5NoE?e=YZ5dtB" TargetMode="External"/><Relationship Id="rId53" Type="http://schemas.openxmlformats.org/officeDocument/2006/relationships/hyperlink" Target="../../../../../:f:/s/DutaTransformasiSumbar2024-PembinaandanSupervisiKPPNSemesterI2026/IgB02--dPd5RSaOPZCJwl0zJAansRHuwkUxsWwmgajnuBZI?e=ng7LB1" TargetMode="External"/><Relationship Id="rId58" Type="http://schemas.openxmlformats.org/officeDocument/2006/relationships/hyperlink" Target="../../../../../:f:/s/DutaTransformasiSumbar2024-PembinaandanSupervisiKPPNSemesterI2026/IgD2f8yaXjGwRY1aXikY-4U4AX5L17XgwoR8u2yodSHUSQg?e=vNpWmW" TargetMode="External"/><Relationship Id="rId74" Type="http://schemas.openxmlformats.org/officeDocument/2006/relationships/hyperlink" Target="https://kemenkeu.sharepoint.com/:f:/s/DutaTransformasiSumbar2024-PembinaandanSupervisiKPPNSemesterI2026/IgAeT8_N6m_-QZjPJaMtRlReAdAF6Hm936BcOy74b6pJu_8?e=JCF4gk" TargetMode="External"/><Relationship Id="rId79" Type="http://schemas.openxmlformats.org/officeDocument/2006/relationships/hyperlink" Target="https://kemenkeu.sharepoint.com/:f:/s/DutaTransformasiSumbar2024-PembinaandanSupervisiKPPNSemesterI2026/IgBEWXSKoiR-SKBY_rY2I8gRAd69CdW4ivQh9P4MFWeBvwE?e=GCbDjf" TargetMode="External"/><Relationship Id="rId5" Type="http://schemas.openxmlformats.org/officeDocument/2006/relationships/hyperlink" Target="../../../../../:b:/s/DutaTransformasiSumbar2024-PembinaandanSupervisiKPPNSemesterI2026/IQBRAC9TK7eNRp2YyBNiD6S9AQ8vuQbuaOL41djjoubrmGo?e=qC71jz" TargetMode="External"/><Relationship Id="rId61" Type="http://schemas.openxmlformats.org/officeDocument/2006/relationships/hyperlink" Target="../../../../../:f:/s/DutaTransformasiSumbar2024-PembinaandanSupervisiKPPNSemesterI2026/IgAw93y2ixadSbiKfpfR81h1AfKUdnrZLyG9DnQSaImNPGU?e=RQlHvG" TargetMode="External"/><Relationship Id="rId82" Type="http://schemas.openxmlformats.org/officeDocument/2006/relationships/hyperlink" Target="https://kemenkeu.sharepoint.com/:f:/s/DutaTransformasiSumbar2024-PembinaandanSupervisiKPPNSemesterI2026/IgB7uzrGofrbSpEkffyeJmPnAZlWkraQJjogpFyP-JzEO8M?e=IRDloL" TargetMode="External"/><Relationship Id="rId19" Type="http://schemas.openxmlformats.org/officeDocument/2006/relationships/hyperlink" Target="../../../../../:u:/s/DutaTransformasiSumbar2024-PembinaandanSupervisiKPPNSemesterI2026/IQC2zICguTqlQbw4UT7-HNSZAS-xVjANJczR9_tVaibV_v0?e=JXQTu8" TargetMode="External"/><Relationship Id="rId14" Type="http://schemas.openxmlformats.org/officeDocument/2006/relationships/hyperlink" Target="../../../../../:b:/s/DutaTransformasiSumbar2024-PembinaandanSupervisiKPPNSemesterI2026/IQAKuw_iphSmSIGRC7oVZ5TRAUNgN2wXGGaoR_dHW905ClQ?e=rasTv5" TargetMode="External"/><Relationship Id="rId22" Type="http://schemas.openxmlformats.org/officeDocument/2006/relationships/hyperlink" Target="../../../../../:b:/s/DutaTransformasiSumbar2024-PembinaandanSupervisiKPPNSemesterI2026/IQBY0iAftn-AR6C0u0CeZbYpAbIkd_xZYOTvQk3Cl-EIqZc?e=9Z5CJ8" TargetMode="External"/><Relationship Id="rId27" Type="http://schemas.openxmlformats.org/officeDocument/2006/relationships/hyperlink" Target="../../../../../:f:/s/DutaTransformasiSumbar2024-PembinaandanSupervisiKPPNSemesterI2026/IgD6wnoxZaOCS6B0z80SC2ObATOhXdjUBq4Z6SiIRvOAD5k?e=Zpl2Nj" TargetMode="External"/><Relationship Id="rId30" Type="http://schemas.openxmlformats.org/officeDocument/2006/relationships/hyperlink" Target="../../../../../:f:/r/sites/DutaTransformasiSumbar2024-PembinaandanSupervisiKPPNSemesterI2026/Shared%20Documents/Pembinaan%20dan%20Supervisi%20KPPN%20Semester%20I%202026/KPPN%20Bukittinggi/I.%20Komponen%20Proses%20Bisnis/4.%20Dukungan%20Manajemen/A.%20Tata%20Kelola%20Organisasi/PB52_Pengujian%20Kepatuhan?csf=1&amp;web=1&amp;e=AF6iHu" TargetMode="External"/><Relationship Id="rId35" Type="http://schemas.openxmlformats.org/officeDocument/2006/relationships/hyperlink" Target="../../../../../:f:/s/DutaTransformasiSumbar2024-PembinaandanSupervisiKPPNSemesterI2026/IgBZWR9PY9xRRat9sC0vVJ33AZuPOWkRa8JoW3jpTNb0teY?e=Zfe0Fn" TargetMode="External"/><Relationship Id="rId43" Type="http://schemas.openxmlformats.org/officeDocument/2006/relationships/hyperlink" Target="../../../../../:f:/s/DutaTransformasiSumbar2024-PembinaandanSupervisiKPPNSemesterI2026/IgD0VAP0ALVdR5pgxQ6AEhEUAXtyrrI8NAcHTdGko91JJvc?e=m6vx27" TargetMode="External"/><Relationship Id="rId48" Type="http://schemas.openxmlformats.org/officeDocument/2006/relationships/hyperlink" Target="../../../../../:f:/s/DutaTransformasiSumbar2024-PembinaandanSupervisiKPPNSemesterI2026/IgD_OV6Ej9J5R55hqlf76PuTAZHlt3PkQv3INaxcs_kC3Kg?e=YQ63uV" TargetMode="External"/><Relationship Id="rId56" Type="http://schemas.openxmlformats.org/officeDocument/2006/relationships/hyperlink" Target="../../../../../:f:/s/DutaTransformasiSumbar2024-PembinaandanSupervisiKPPNSemesterI2026/IgAbjjH6QFpYSYbM6B9xMz_CAZc4nQ8AeABxi5tWg4uu-xM?e=L9crBW" TargetMode="External"/><Relationship Id="rId64" Type="http://schemas.openxmlformats.org/officeDocument/2006/relationships/hyperlink" Target="../../../../../:f:/s/DutaTransformasiSumbar2024-PembinaandanSupervisiKPPNSemesterI2026/IgAByoZ_yQV3SLz9T4ZBjBGPATwgIC5GiQ4ygxOItym130A?e=bGEu2l" TargetMode="External"/><Relationship Id="rId69" Type="http://schemas.openxmlformats.org/officeDocument/2006/relationships/hyperlink" Target="../../../../../:f:/s/DutaTransformasiSumbar2024-PembinaandanSupervisiKPPNSemesterI2026/IgA2GmWo5IqbTb9AZeB_IcaPAdMAb70XPzjQWWJ3fqexAcg?e=Vfx5e2" TargetMode="External"/><Relationship Id="rId77" Type="http://schemas.openxmlformats.org/officeDocument/2006/relationships/hyperlink" Target="https://kemenkeu.sharepoint.com/:f:/s/DutaTransformasiSumbar2024-PembinaandanSupervisiKPPNSemesterI2026/IgBMcxIYmbtbRa50Dysl3amyAUF3Gg82R3fkCJLlv7EiR0o?e=OioHLt" TargetMode="External"/><Relationship Id="rId8" Type="http://schemas.openxmlformats.org/officeDocument/2006/relationships/hyperlink" Target="../../../../../:u:/s/DutaTransformasiSumbar2024-PembinaandanSupervisiKPPNSemesterI2026/IQDCo2KhOcN2SIYhTEwfshOfAYAV6nJR6sE_0seRb6XPHKI?e=4rgO5W" TargetMode="External"/><Relationship Id="rId51" Type="http://schemas.openxmlformats.org/officeDocument/2006/relationships/hyperlink" Target="../../../../../:f:/s/DutaTransformasiSumbar2024-PembinaandanSupervisiKPPNSemesterI2026/IgDfMR1_0QP-RK5fBXx_bx98AbpQp7JUQl7KlFnAkNu9Bi8?e=e4UnoL" TargetMode="External"/><Relationship Id="rId72" Type="http://schemas.openxmlformats.org/officeDocument/2006/relationships/hyperlink" Target="../../../../../:f:/s/DutaTransformasiSumbar2024-PembinaandanSupervisiKPPNSemesterI2026/IgAfB_Woxx4TQ5U03rqdlw8oAalAgu9XfJnCAckujm5mNQA?e=GEPW2r" TargetMode="External"/><Relationship Id="rId80" Type="http://schemas.openxmlformats.org/officeDocument/2006/relationships/hyperlink" Target="https://kemenkeu.sharepoint.com/:f:/s/DutaTransformasiSumbar2024-PembinaandanSupervisiKPPNSemesterI2026/IgAc5zquThmrQqShwtLH7HqBAf0kq39-H7v0ZUVqw1AHEQU?e=U0yLmq" TargetMode="External"/><Relationship Id="rId3" Type="http://schemas.openxmlformats.org/officeDocument/2006/relationships/hyperlink" Target="../../../../../:b:/s/DutaTransformasiSumbar2024-PembinaandanSupervisiKPPNSemesterI2026/IQA8iZaluXOIQIfqS9LMvCzdAS3ibTFcgDS-96tVR9gv6KU?e=6Xu2XW" TargetMode="External"/><Relationship Id="rId12" Type="http://schemas.openxmlformats.org/officeDocument/2006/relationships/hyperlink" Target="../../../../../:b:/s/DutaTransformasiSumbar2024-PembinaandanSupervisiKPPNSemesterI2026/IQAsJEDihFqQSZtKqFUamKUaAWWqxw6ll3BElv068ArVaF4?e=AHsKiR" TargetMode="External"/><Relationship Id="rId17" Type="http://schemas.openxmlformats.org/officeDocument/2006/relationships/hyperlink" Target="../../../../../:b:/r/sites/DutaTransformasiSumbar2024-PembinaandanSupervisiKPPNSemesterI2026/Shared%20Documents/Pembinaan%20dan%20Supervisi%20KPPN%20Semester%20I%202026/KPPN%20Bukittinggi/I.%20Komponen%20Proses%20Bisnis/1.%20Treasury%20Operation/I.%20Sistem%20Keamanan%20Informasi%20dan%20Teknologi%20Perbendaharaan/PB24_SK%20Penunjukkan%20PIC%20TIK,%20SS%20Join%20Domain%20dan%20Form%20Penguatan%20Keamanan%20Informasi.pdf?csf=1&amp;web=1&amp;e=GXKIW0" TargetMode="External"/><Relationship Id="rId25" Type="http://schemas.openxmlformats.org/officeDocument/2006/relationships/hyperlink" Target="../../../../../:f:/s/DutaTransformasiSumbar2024-PembinaandanSupervisiKPPNSemesterI2026/IgCIZ_dQoCgkTI0K-aVNmFgkAQWiPW5XcVgmvx6CaTMAkL4?e=nAWnap" TargetMode="External"/><Relationship Id="rId33" Type="http://schemas.openxmlformats.org/officeDocument/2006/relationships/hyperlink" Target="../../../../../:f:/s/DutaTransformasiSumbar2024-PembinaandanSupervisiKPPNSemesterI2026/IgDHAC2qEPHVT4G67MARijM2Aa9sjFdMa-R2lICk8LxE8Is?e=meDgta" TargetMode="External"/><Relationship Id="rId38" Type="http://schemas.openxmlformats.org/officeDocument/2006/relationships/hyperlink" Target="../../../../../:u:/s/DutaTransformasiSumbar2024-PembinaandanSupervisiKPPNSemesterI2026/IQDC9ofnm1wtQas4PJBiNILbAUUainaf1F2-XhTdO1ah5NU?e=GTT7zd" TargetMode="External"/><Relationship Id="rId46" Type="http://schemas.openxmlformats.org/officeDocument/2006/relationships/hyperlink" Target="../../../../../:b:/s/DutaTransformasiSumbar2024-PembinaandanSupervisiKPPNSemesterI2026/IQC91HHXqYcSQoHgXqclow0fAT07U5URquSWaGoXYTW3acU?e=mZLFZ0" TargetMode="External"/><Relationship Id="rId59" Type="http://schemas.openxmlformats.org/officeDocument/2006/relationships/hyperlink" Target="../../../../../:f:/s/DutaTransformasiSumbar2024-PembinaandanSupervisiKPPNSemesterI2026/IgBC90LGS1DeTrOQ5g-yALwFAW_zjf-5QqFWSSeLBT38nPw?e=ZAfxsI" TargetMode="External"/><Relationship Id="rId67" Type="http://schemas.openxmlformats.org/officeDocument/2006/relationships/hyperlink" Target="../../../../../:f:/s/DutaTransformasiSumbar2024-PembinaandanSupervisiKPPNSemesterI2026/IgD999Yai--FRqrXOkr7PchFASxywAAZbvcL1nVAfqmQAxI?e=H8RiOj" TargetMode="External"/><Relationship Id="rId20" Type="http://schemas.openxmlformats.org/officeDocument/2006/relationships/hyperlink" Target="../../../../../:f:/s/DutaTransformasiSumbar2024-PembinaandanSupervisiKPPNSemesterI2026/IgBCmAlWZoWfTJsAkv8ZJROZAbCxgXUdH4AG6LagRwnX6zQ?e=tLNLT4" TargetMode="External"/><Relationship Id="rId41" Type="http://schemas.openxmlformats.org/officeDocument/2006/relationships/hyperlink" Target="../../../../../:b:/s/DutaTransformasiSumbar2024-PembinaandanSupervisiKPPNSemesterI2026/IQAbhz2k8nIjT5CRCx4H17IYAVL73AeZfmVxEwUn2suhYTA?e=W0cD1F" TargetMode="External"/><Relationship Id="rId54" Type="http://schemas.openxmlformats.org/officeDocument/2006/relationships/hyperlink" Target="../../../../../:f:/s/DutaTransformasiSumbar2024-PembinaandanSupervisiKPPNSemesterI2026/IgDSlIupatlgRpoC6xXus4j-ASizWVKcoamOe2gVqYS3IA4?e=FTrkr1" TargetMode="External"/><Relationship Id="rId62" Type="http://schemas.openxmlformats.org/officeDocument/2006/relationships/hyperlink" Target="../../../../../:f:/s/DutaTransformasiSumbar2024-PembinaandanSupervisiKPPNSemesterI2026/IgD7Id4FQ33YS7Sg_fX7i-N7AV8tPF-aT4iotLOBMMopRhE?e=nLqybz" TargetMode="External"/><Relationship Id="rId70" Type="http://schemas.openxmlformats.org/officeDocument/2006/relationships/hyperlink" Target="../../../../../:f:/s/DutaTransformasiSumbar2024-PembinaandanSupervisiKPPNSemesterI2026/IgCaHuR60C2BRrdAP7AvAKPWAUytXZa4kloaDH_K_ZwlaJ8?e=rUtkzC" TargetMode="External"/><Relationship Id="rId75" Type="http://schemas.openxmlformats.org/officeDocument/2006/relationships/hyperlink" Target="https://kemenkeu.sharepoint.com/:f:/s/DutaTransformasiSumbar2024-PembinaandanSupervisiKPPNSemesterI2026/IgDK9gGbHAq9TIpdXRskvUpUASAdeWBv-ZWLVu9n0mFWE84?e=ySptN1" TargetMode="External"/><Relationship Id="rId83" Type="http://schemas.openxmlformats.org/officeDocument/2006/relationships/hyperlink" Target="https://kemenkeu.sharepoint.com/:f:/s/DutaTransformasiSumbar2024-PembinaandanSupervisiKPPNSemesterI2026/IgAOY3SRTJjoQYoonMHuwAO4AYWQYp-aVp9ppJ6qoC8hJWM?e=86cbwc" TargetMode="External"/><Relationship Id="rId1" Type="http://schemas.openxmlformats.org/officeDocument/2006/relationships/hyperlink" Target="../../../../../:f:/r/sites/DutaTransformasiSumbar2024-PembinaandanSupervisiKPPNSemesterI2026/Shared%20Documents/Pembinaan%20dan%20Supervisi%20KPPN%20Semester%20I%202026/KPPN%20Bukittinggi/I.%20Komponen%20Proses%20Bisnis/1.%20Treasury%20Operation/A.%20Likuiditas%20Keuangan%20di%20Daerah/PB02_Sharing%20Session%20Peningkatan%20Capaian%20IKPA?csf=1&amp;web=1&amp;e=Tay16Y" TargetMode="External"/><Relationship Id="rId6" Type="http://schemas.openxmlformats.org/officeDocument/2006/relationships/hyperlink" Target="../../../../../:b:/s/DutaTransformasiSumbar2024-PembinaandanSupervisiKPPNSemesterI2026/IQA8d6TqhrowSpUf07attGVTARfE7T6rujDdg-5xyqy9Jig?e=EAARgj" TargetMode="External"/><Relationship Id="rId15" Type="http://schemas.openxmlformats.org/officeDocument/2006/relationships/hyperlink" Target="../../../../../:u:/s/DutaTransformasiSumbar2024-PembinaandanSupervisiKPPNSemesterI2026/IQC_2_y1XBCYTIGmffz-JwgXARtwJHD9JOztKjI1yKjQTco?e=AEKG9n" TargetMode="External"/><Relationship Id="rId23" Type="http://schemas.openxmlformats.org/officeDocument/2006/relationships/hyperlink" Target="../../../../../:f:/s/DutaTransformasiSumbar2024-PembinaandanSupervisiKPPNSemesterI2026/IgD5_uJlrfpRT5YF89kDPpgQAaQfSHzF4E3ByEZ_FLKKEAA?e=WGxXEB" TargetMode="External"/><Relationship Id="rId28" Type="http://schemas.openxmlformats.org/officeDocument/2006/relationships/hyperlink" Target="../../../../../:f:/s/DutaTransformasiSumbar2024-PembinaandanSupervisiKPPNSemesterI2026/IgC1bRDKfQbSSrBNb4Z7iwoiAS6_70NLOniQciGv0AHRNUk?e=g3AikC" TargetMode="External"/><Relationship Id="rId36" Type="http://schemas.openxmlformats.org/officeDocument/2006/relationships/hyperlink" Target="../../../../../:b:/s/DutaTransformasiSumbar2024-PembinaandanSupervisiKPPNSemesterI2026/IQDahLbaECdVTbdZ1agWR7H8AUJrM_dThrGcqkdDiHLtqgE?e=XniiCc" TargetMode="External"/><Relationship Id="rId49" Type="http://schemas.openxmlformats.org/officeDocument/2006/relationships/hyperlink" Target="../../../../../:f:/s/DutaTransformasiSumbar2024-PembinaandanSupervisiKPPNSemesterI2026/IgBEGBcJCYBMQ4oteenpEAUPAT0M8wCQPTe_Y0YcaVyKvr0?e=EJIOqu" TargetMode="External"/><Relationship Id="rId57" Type="http://schemas.openxmlformats.org/officeDocument/2006/relationships/hyperlink" Target="../../../../../:f:/s/DutaTransformasiSumbar2024-PembinaandanSupervisiKPPNSemesterI2026/IgDsRvrTKySwRrYoQf3Doj9eAXDyL1DLU_-w7BSrXxOTitk?e=kmNHXJ" TargetMode="External"/><Relationship Id="rId10" Type="http://schemas.openxmlformats.org/officeDocument/2006/relationships/hyperlink" Target="../../../../../:u:/s/DutaTransformasiSumbar2024-PembinaandanSupervisiKPPNSemesterI2026/IQDdycS5DoeqTIpoEp4tBRrKAQ7aTJSaSuYJkh84s85sblo?e=ccl5pi" TargetMode="External"/><Relationship Id="rId31" Type="http://schemas.openxmlformats.org/officeDocument/2006/relationships/hyperlink" Target="../../../../../:f:/s/DutaTransformasiSumbar2024-PembinaandanSupervisiKPPNSemesterI2026/IgAf0aE7vIMkRLIbRWeO2riGAZhHFElLu58OXYX88pEL0cs?e=CaYZ0P" TargetMode="External"/><Relationship Id="rId44" Type="http://schemas.openxmlformats.org/officeDocument/2006/relationships/hyperlink" Target="../../../../../:b:/s/DutaTransformasiSumbar2024-PembinaandanSupervisiKPPNSemesterI2026/IQCTga9L5jgrSaaKMXbGy50rAT-y9nm0K16jRLxYVi-z40k?e=onI4ZL" TargetMode="External"/><Relationship Id="rId52" Type="http://schemas.openxmlformats.org/officeDocument/2006/relationships/hyperlink" Target="../../../../../:b:/s/DutaTransformasiSumbar2024-PembinaandanSupervisiKPPNSemesterI2026/IQCPQ4i-kivfRYckebyAZF6WAeYM5NDyCsLHloRUHUAnMow?e=TPVrWi" TargetMode="External"/><Relationship Id="rId60" Type="http://schemas.openxmlformats.org/officeDocument/2006/relationships/hyperlink" Target="../../../../../:f:/s/DutaTransformasiSumbar2024-PembinaandanSupervisiKPPNSemesterI2026/IgAZWV_qf5jwSYBK2fcrHMGXAUdPVLVWCWhiph-dhATblG8?e=kaUVfi" TargetMode="External"/><Relationship Id="rId65" Type="http://schemas.openxmlformats.org/officeDocument/2006/relationships/hyperlink" Target="../../../../../:f:/s/DutaTransformasiSumbar2024-PembinaandanSupervisiKPPNSemesterI2026/IgAw_MTRhYuVT5W8GgfNoZbVAad_wFe63Eaj-SsFgkNM-co?e=Q887YW" TargetMode="External"/><Relationship Id="rId73" Type="http://schemas.openxmlformats.org/officeDocument/2006/relationships/hyperlink" Target="../../../../../:f:/s/DutaTransformasiSumbar2024-PembinaandanSupervisiKPPNSemesterI2026/IgAKM5WK2u5KT6FAW8tVYYRqAR9CXR_Fir0w99cLNm7wQzY?e=WU6Xzf" TargetMode="External"/><Relationship Id="rId78" Type="http://schemas.openxmlformats.org/officeDocument/2006/relationships/hyperlink" Target="https://kemenkeu.sharepoint.com/:f:/s/DutaTransformasiSumbar2024-PembinaandanSupervisiKPPNSemesterI2026/IgANQg7Jcj4pRKYFe85VEVXdASLeWmx868iNVKEGIiN0z9w?e=NU3wHB" TargetMode="External"/><Relationship Id="rId81" Type="http://schemas.openxmlformats.org/officeDocument/2006/relationships/hyperlink" Target="https://kemenkeu.sharepoint.com/:f:/s/DutaTransformasiSumbar2024-PembinaandanSupervisiKPPNSemesterI2026/IgB0xV15nd2JT4GnUfmv2-cgASyXPNBWWWHqq77oX1GeRds?e=e1jNTg" TargetMode="External"/><Relationship Id="rId4" Type="http://schemas.openxmlformats.org/officeDocument/2006/relationships/hyperlink" Target="../../../../../:b:/s/DutaTransformasiSumbar2024-PembinaandanSupervisiKPPNSemesterI2026/IQACJ0jsbru8QrCC9Rn0xej-AVX_ZS-fIT4RPAGOOUAASeE?e=lcW0TD" TargetMode="External"/><Relationship Id="rId9" Type="http://schemas.openxmlformats.org/officeDocument/2006/relationships/hyperlink" Target="../../../../../:f:/s/DutaTransformasiSumbar2024-PembinaandanSupervisiKPPNSemesterI2026/IgCB-fHLDjKyQrkwcpqOWbP0AcYJyCweCE9Dorao3olz4c8?e=hdhbb8" TargetMode="External"/><Relationship Id="rId13" Type="http://schemas.openxmlformats.org/officeDocument/2006/relationships/hyperlink" Target="../../../../../:b:/s/DutaTransformasiSumbar2024-PembinaandanSupervisiKPPNSemesterI2026/IQC-HJ63HpklQJUTOE50p6sFAc0z38x01Q0fKZsgggGxVuo?e=wLMjzd" TargetMode="External"/><Relationship Id="rId18" Type="http://schemas.openxmlformats.org/officeDocument/2006/relationships/hyperlink" Target="../../../../../:u:/s/DutaTransformasiSumbar2024-PembinaandanSupervisiKPPNSemesterI2026/IQDFebX5wd3hS6Z788l36Rn2AcTxOI6TiTc0XVWVKyIBhDs?e=6ca4II" TargetMode="External"/><Relationship Id="rId39" Type="http://schemas.openxmlformats.org/officeDocument/2006/relationships/hyperlink" Target="../../../../../:b:/s/DutaTransformasiSumbar2024-PembinaandanSupervisiKPPNSemesterI2026/IQAOeeyvHFbhQ7YZXYlhlLAnAV_QgRIAwSDVPNHvlnUaw6A?e=SdJm9V" TargetMode="External"/><Relationship Id="rId34" Type="http://schemas.openxmlformats.org/officeDocument/2006/relationships/hyperlink" Target="../../../../../:f:/s/DutaTransformasiSumbar2024-PembinaandanSupervisiKPPNSemesterI2026/IgDl4xsvyMwhToUMOXs-rlwmAa94ip1_vJlImnrc3WjsDxM?e=Lt0CqA" TargetMode="External"/><Relationship Id="rId50" Type="http://schemas.openxmlformats.org/officeDocument/2006/relationships/hyperlink" Target="../../../../../:f:/s/DutaTransformasiSumbar2024-PembinaandanSupervisiKPPNSemesterI2026/IgCp1Uy8S10cRLAWPkH8B3_1AX9H7mwgiTVG8C0BJYXgMPY?e=V8awCK" TargetMode="External"/><Relationship Id="rId55" Type="http://schemas.openxmlformats.org/officeDocument/2006/relationships/hyperlink" Target="../../../../../:f:/s/DutaTransformasiSumbar2024-PembinaandanSupervisiKPPNSemesterI2026/IgDl3PG2eig8RrIEsV1EPBeWAaGFiLPTu9qZxQEYPEKo1Gw?e=jkXrhu" TargetMode="External"/><Relationship Id="rId76" Type="http://schemas.openxmlformats.org/officeDocument/2006/relationships/hyperlink" Target="https://kemenkeu.sharepoint.com/:f:/s/DutaTransformasiSumbar2024-PembinaandanSupervisiKPPNSemesterI2026/IgCnJ3IeoY7OQKyovecWOEHZAQbzVJit8sCac0P6AOKUK3I?e=3MnIqF" TargetMode="External"/><Relationship Id="rId7" Type="http://schemas.openxmlformats.org/officeDocument/2006/relationships/hyperlink" Target="../../../../../:b:/s/DutaTransformasiSumbar2024-PembinaandanSupervisiKPPNSemesterI2026/IQAZpYpyUvVQTbJUXd6OzpKvAccs5fllx2S_bHKteznwvKg?e=Fpll9Y" TargetMode="External"/><Relationship Id="rId71" Type="http://schemas.openxmlformats.org/officeDocument/2006/relationships/hyperlink" Target="../../../../../:b:/s/DutaTransformasiSumbar2024-PembinaandanSupervisiKPPNSemesterI2026/IQCwXGxcVjxsTo88a0hmxLGPAZuXqmW8TXHnOZOTNxHuVRA?e=ADJFNf" TargetMode="External"/><Relationship Id="rId2" Type="http://schemas.openxmlformats.org/officeDocument/2006/relationships/hyperlink" Target="../../../../../:b:/s/DutaTransformasiSumbar2024-PembinaandanSupervisiKPPNSemesterI2026/IQCgQE-YXQkBTIlkFTk2NVtRAaSJ9aNSMYnHBP43dfldwN4?e=AcCp1N" TargetMode="External"/><Relationship Id="rId29" Type="http://schemas.openxmlformats.org/officeDocument/2006/relationships/hyperlink" Target="../../../../../:f:/s/DutaTransformasiSumbar2024-PembinaandanSupervisiKPPNSemesterI2026/IgAG1DZAu-flTqkknSNtaZcEAeUP3eEv_z8WYr6bshgkFeE?e=1PFhMN" TargetMode="External"/><Relationship Id="rId24" Type="http://schemas.openxmlformats.org/officeDocument/2006/relationships/hyperlink" Target="../../../../../:f:/s/DutaTransformasiSumbar2024-PembinaandanSupervisiKPPNSemesterI2026/IgD4Av0JczybRqTJ7ud3iLP_AYQX-ifnEgJTEOGDh-0DiQs?e=Lbc7Zn" TargetMode="External"/><Relationship Id="rId40" Type="http://schemas.openxmlformats.org/officeDocument/2006/relationships/hyperlink" Target="../../../../../:b:/s/DutaTransformasiSumbar2024-PembinaandanSupervisiKPPNSemesterI2026/IQDxXqpyV_oxRpLtKSWef79oATZeNZrEBfeen7tiBEBjvYU?e=lF7Zal" TargetMode="External"/><Relationship Id="rId45" Type="http://schemas.openxmlformats.org/officeDocument/2006/relationships/hyperlink" Target="../../../../../:b:/s/DutaTransformasiSumbar2024-PembinaandanSupervisiKPPNSemesterI2026/IQCPJS3Ydn8oTIXRsw0bffnDARKbJ26rVdC9urb5Iti_KvA?e=mhXHio" TargetMode="External"/><Relationship Id="rId66" Type="http://schemas.openxmlformats.org/officeDocument/2006/relationships/hyperlink" Target="../../../../../:f:/s/DutaTransformasiSumbar2024-PembinaandanSupervisiKPPNSemesterI2026/IgAtXh0_Qm-FSI3iyeH4KKPgAYJUImxgwc2YXABvpkwmyeA?e=gOGVy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5F83-9045-4F90-B94A-7371C2E40E81}">
  <sheetPr>
    <tabColor theme="4"/>
  </sheetPr>
  <dimension ref="A1:CY541"/>
  <sheetViews>
    <sheetView tabSelected="1" topLeftCell="A124" zoomScale="90" workbookViewId="0">
      <selection activeCell="A49" sqref="A49:H49"/>
    </sheetView>
  </sheetViews>
  <sheetFormatPr defaultRowHeight="15" customHeight="1" x14ac:dyDescent="0.25"/>
  <cols>
    <col min="1" max="1" width="4.42578125" style="91" customWidth="1"/>
    <col min="2" max="2" width="21.140625" style="90" customWidth="1"/>
    <col min="3" max="3" width="52.140625" style="92" customWidth="1"/>
    <col min="4" max="4" width="39.42578125" style="92" customWidth="1"/>
    <col min="5" max="5" width="53.140625" style="90" customWidth="1"/>
    <col min="6" max="6" width="34.5703125" style="90" customWidth="1"/>
    <col min="7" max="7" width="52.140625" style="24" customWidth="1"/>
    <col min="8" max="8" width="21.5703125" style="91" customWidth="1"/>
    <col min="9" max="9" width="9.140625" style="91"/>
    <col min="10" max="10" width="39.85546875" style="90" customWidth="1"/>
    <col min="11" max="11" width="2.5703125" customWidth="1"/>
    <col min="12" max="12" width="22.140625" customWidth="1"/>
  </cols>
  <sheetData>
    <row r="1" spans="1:13" ht="30" x14ac:dyDescent="0.25">
      <c r="A1" s="1" t="s">
        <v>0</v>
      </c>
      <c r="B1" s="2" t="s">
        <v>1</v>
      </c>
      <c r="C1" s="1" t="s">
        <v>2</v>
      </c>
      <c r="D1" s="1" t="s">
        <v>3</v>
      </c>
      <c r="E1" s="2" t="s">
        <v>4</v>
      </c>
      <c r="F1" s="3" t="s">
        <v>5</v>
      </c>
      <c r="G1" s="4" t="s">
        <v>6</v>
      </c>
      <c r="H1" s="5" t="s">
        <v>7</v>
      </c>
      <c r="I1" s="6" t="s">
        <v>8</v>
      </c>
      <c r="J1" s="7" t="s">
        <v>9</v>
      </c>
      <c r="L1" s="8" t="s">
        <v>10</v>
      </c>
      <c r="M1" s="9" t="s">
        <v>8</v>
      </c>
    </row>
    <row r="2" spans="1:13" ht="65.45" customHeight="1" x14ac:dyDescent="0.25">
      <c r="A2" s="1"/>
      <c r="B2" s="2"/>
      <c r="C2" s="1"/>
      <c r="D2" s="1"/>
      <c r="E2" s="2"/>
      <c r="F2" s="3"/>
      <c r="G2" s="4"/>
      <c r="H2" s="10" t="s">
        <v>11</v>
      </c>
      <c r="I2" s="6"/>
      <c r="J2" s="7"/>
      <c r="L2" s="11" t="s">
        <v>11</v>
      </c>
      <c r="M2" s="9"/>
    </row>
    <row r="3" spans="1:13" x14ac:dyDescent="0.25">
      <c r="A3" s="12" t="s">
        <v>12</v>
      </c>
      <c r="B3" s="12"/>
      <c r="C3" s="12"/>
      <c r="D3" s="12"/>
      <c r="E3" s="12"/>
      <c r="F3" s="12"/>
      <c r="G3" s="12"/>
      <c r="H3" s="12"/>
      <c r="I3" s="13"/>
      <c r="J3" s="14"/>
      <c r="L3" s="15"/>
      <c r="M3" s="15"/>
    </row>
    <row r="4" spans="1:13" x14ac:dyDescent="0.25">
      <c r="A4" s="12" t="s">
        <v>13</v>
      </c>
      <c r="B4" s="12"/>
      <c r="C4" s="12"/>
      <c r="D4" s="12"/>
      <c r="E4" s="12"/>
      <c r="F4" s="12"/>
      <c r="G4" s="16"/>
      <c r="H4" s="12"/>
      <c r="I4" s="13"/>
      <c r="J4" s="14"/>
      <c r="L4" s="15"/>
      <c r="M4" s="15"/>
    </row>
    <row r="5" spans="1:13" ht="336.75" customHeight="1" x14ac:dyDescent="0.25">
      <c r="A5" s="17">
        <v>1</v>
      </c>
      <c r="B5" s="18" t="s">
        <v>14</v>
      </c>
      <c r="C5" s="18" t="s">
        <v>15</v>
      </c>
      <c r="D5" s="18" t="s">
        <v>16</v>
      </c>
      <c r="E5" s="19" t="s">
        <v>17</v>
      </c>
      <c r="F5" s="20" t="s">
        <v>18</v>
      </c>
      <c r="G5" s="21" t="s">
        <v>19</v>
      </c>
      <c r="H5" s="22">
        <v>10</v>
      </c>
      <c r="I5" s="23">
        <f>IF(H5="N/A","N/A",IF(H5=10,100,IF(H5=7,70,IF(H5=5,50,IF(H5=8,80,IF(H5=0,0,""))))))</f>
        <v>100</v>
      </c>
      <c r="J5" s="24" t="str">
        <f>'[1]ADMIN_KK PROBIS'!$J5</f>
        <v>Triwulan I :
Deviasi unit (30%) : 4,54
Deviasi nilai (70%) : 1,48
Deviasi s.d. Triwulan I : 2,40
Triwulan II :
Deviasi unit 30% : 0,83
Deviasi unit 70% : 2,63
Deviasi s.d. Triwulan II : 3,45
Rata2 deviasi = 2,93</v>
      </c>
      <c r="L5" s="25">
        <f>'[1]ADMIN_KK PROBIS'!$H5</f>
        <v>10</v>
      </c>
      <c r="M5" s="25">
        <f>IF(L5="N/A","N/A",IF(L5=10,100,IF(L5=7,70,IF(L5=5,50,IF(L5=8,80,IF(L5=0,0,""))))))</f>
        <v>100</v>
      </c>
    </row>
    <row r="6" spans="1:13" ht="171.75" customHeight="1" x14ac:dyDescent="0.25">
      <c r="A6" s="17">
        <v>2</v>
      </c>
      <c r="B6" s="18" t="s">
        <v>20</v>
      </c>
      <c r="C6" s="18" t="s">
        <v>21</v>
      </c>
      <c r="D6" s="18" t="s">
        <v>22</v>
      </c>
      <c r="E6" s="19"/>
      <c r="F6" s="20" t="s">
        <v>23</v>
      </c>
      <c r="G6" s="26" t="s">
        <v>24</v>
      </c>
      <c r="H6" s="22">
        <v>10</v>
      </c>
      <c r="I6" s="23">
        <f>IF(H6="N/A","N/A",IF(H6=10,100,IF(H6=7,70,IF(H6=5,50,IF(H6=8,80,IF(H6=0,0,""))))))</f>
        <v>100</v>
      </c>
      <c r="J6" s="24" t="str">
        <f>'[1]ADMIN_KK PROBIS'!$J6</f>
        <v>Ada bukti dukung tindakan dalam rangka meminimalisasi deviasi berupa kegiatan sharing session</v>
      </c>
      <c r="L6" s="25">
        <f>'[1]ADMIN_KK PROBIS'!$H6</f>
        <v>10</v>
      </c>
      <c r="M6" s="25">
        <f>IF(L6="N/A","N/A",IF(L6=10,100,IF(L6=7,70,IF(L6=5,50,IF(L6=8,80,IF(L6=0,0,""))))))</f>
        <v>100</v>
      </c>
    </row>
    <row r="7" spans="1:13" x14ac:dyDescent="0.25">
      <c r="A7" s="12" t="s">
        <v>25</v>
      </c>
      <c r="B7" s="12"/>
      <c r="C7" s="12"/>
      <c r="D7" s="12"/>
      <c r="E7" s="12"/>
      <c r="F7" s="12"/>
      <c r="G7" s="12"/>
      <c r="H7" s="12"/>
      <c r="I7" s="27"/>
      <c r="J7" s="28"/>
      <c r="L7" s="29"/>
      <c r="M7" s="15"/>
    </row>
    <row r="8" spans="1:13" ht="348.75" customHeight="1" x14ac:dyDescent="0.25">
      <c r="A8" s="17">
        <v>3</v>
      </c>
      <c r="B8" s="18" t="s">
        <v>26</v>
      </c>
      <c r="C8" s="18" t="s">
        <v>27</v>
      </c>
      <c r="D8" s="18" t="s">
        <v>28</v>
      </c>
      <c r="E8" s="18" t="s">
        <v>29</v>
      </c>
      <c r="F8" s="20" t="s">
        <v>30</v>
      </c>
      <c r="G8" s="30" t="s">
        <v>31</v>
      </c>
      <c r="H8" s="22">
        <v>10</v>
      </c>
      <c r="I8" s="23">
        <f>IF(H8="N/A","N/A",IF(H8=10,100,IF(H8=7,70,IF(H8=5,50,IF(H8=8,80,IF(H8=0,0,""))))))</f>
        <v>100</v>
      </c>
      <c r="J8" s="24" t="str">
        <f>'[1]ADMIN_KK PROBIS'!$J8</f>
        <v>Ada bukti dukung dalam pelaksanaan kepatuhan SOP</v>
      </c>
      <c r="L8" s="25">
        <f>'[1]ADMIN_KK PROBIS'!$H8</f>
        <v>10</v>
      </c>
      <c r="M8" s="25">
        <f>IF(L8="N/A","N/A",IF(L8=10,100,IF(L8=7,70,IF(L8=5,50,IF(L8=8,80,IF(L8=0,0,""))))))</f>
        <v>100</v>
      </c>
    </row>
    <row r="9" spans="1:13" ht="182.45" customHeight="1" x14ac:dyDescent="0.25">
      <c r="A9" s="17">
        <v>4</v>
      </c>
      <c r="B9" s="18" t="s">
        <v>32</v>
      </c>
      <c r="C9" s="18" t="s">
        <v>33</v>
      </c>
      <c r="D9" s="18" t="s">
        <v>34</v>
      </c>
      <c r="E9" s="18" t="s">
        <v>35</v>
      </c>
      <c r="F9" s="31" t="s">
        <v>36</v>
      </c>
      <c r="G9" s="21" t="s">
        <v>37</v>
      </c>
      <c r="H9" s="22">
        <v>10</v>
      </c>
      <c r="I9" s="23">
        <f t="shared" ref="I9:I12" si="0">IF(H9="N/A","N/A",IF(H9=10,100,IF(H9=7,70,IF(H9=5,50,IF(H9=8,80,IF(H9=0,0,""))))))</f>
        <v>100</v>
      </c>
      <c r="J9" s="24" t="str">
        <f>'[1]ADMIN_KK PROBIS'!$J9</f>
        <v>Dokumen lengkap sesuai ketentuan</v>
      </c>
      <c r="L9" s="25">
        <f>'[1]ADMIN_KK PROBIS'!$H9</f>
        <v>10</v>
      </c>
      <c r="M9" s="25">
        <f t="shared" ref="M9:M12" si="1">IF(L9="N/A","N/A",IF(L9=10,100,IF(L9=7,70,IF(L9=5,50,IF(L9=8,80,IF(L9=0,0,""))))))</f>
        <v>100</v>
      </c>
    </row>
    <row r="10" spans="1:13" ht="345" x14ac:dyDescent="0.25">
      <c r="A10" s="17">
        <v>5</v>
      </c>
      <c r="B10" s="18" t="s">
        <v>38</v>
      </c>
      <c r="C10" s="18" t="s">
        <v>39</v>
      </c>
      <c r="D10" s="18" t="s">
        <v>40</v>
      </c>
      <c r="E10" s="18" t="s">
        <v>41</v>
      </c>
      <c r="F10" s="31" t="s">
        <v>42</v>
      </c>
      <c r="G10" s="32" t="s">
        <v>43</v>
      </c>
      <c r="H10" s="33">
        <v>10</v>
      </c>
      <c r="I10" s="23">
        <f t="shared" si="0"/>
        <v>100</v>
      </c>
      <c r="J10" s="24" t="str">
        <f>'[1]ADMIN_KK PROBIS'!$J10</f>
        <v>Terdapat 95 retur non retur TKD yang diselesaikan &lt;8 HK.
Mohon menambahkan monitoring retur sd Juni</v>
      </c>
      <c r="L10" s="25">
        <f>'[1]ADMIN_KK PROBIS'!$H10</f>
        <v>10</v>
      </c>
      <c r="M10" s="25">
        <f t="shared" si="1"/>
        <v>100</v>
      </c>
    </row>
    <row r="11" spans="1:13" ht="195" x14ac:dyDescent="0.25">
      <c r="A11" s="17">
        <v>6</v>
      </c>
      <c r="B11" s="18" t="s">
        <v>44</v>
      </c>
      <c r="C11" s="18" t="s">
        <v>45</v>
      </c>
      <c r="D11" s="18" t="s">
        <v>46</v>
      </c>
      <c r="E11" s="18" t="s">
        <v>47</v>
      </c>
      <c r="F11" s="31" t="s">
        <v>48</v>
      </c>
      <c r="G11" s="21" t="s">
        <v>49</v>
      </c>
      <c r="H11" s="22">
        <v>10</v>
      </c>
      <c r="I11" s="23">
        <f t="shared" si="0"/>
        <v>100</v>
      </c>
      <c r="J11" s="24" t="str">
        <f>'[1]ADMIN_KK PROBIS'!$J11</f>
        <v xml:space="preserve">Terdapat bukti dukung yang menunjukkan prosedur penerbitan SP2B BLU telah sesuai SOP.
</v>
      </c>
      <c r="L11" s="25">
        <f>'[1]ADMIN_KK PROBIS'!$H11</f>
        <v>10</v>
      </c>
      <c r="M11" s="25">
        <f t="shared" si="1"/>
        <v>100</v>
      </c>
    </row>
    <row r="12" spans="1:13" ht="165" x14ac:dyDescent="0.25">
      <c r="A12" s="17">
        <v>7</v>
      </c>
      <c r="B12" s="18" t="s">
        <v>50</v>
      </c>
      <c r="C12" s="18" t="s">
        <v>51</v>
      </c>
      <c r="D12" s="18" t="s">
        <v>52</v>
      </c>
      <c r="E12" s="18" t="s">
        <v>53</v>
      </c>
      <c r="F12" s="31" t="s">
        <v>54</v>
      </c>
      <c r="G12" s="21" t="s">
        <v>55</v>
      </c>
      <c r="H12" s="22">
        <v>10</v>
      </c>
      <c r="I12" s="23">
        <f t="shared" si="0"/>
        <v>100</v>
      </c>
      <c r="J12" s="24" t="str">
        <f>'[1]ADMIN_KK PROBIS'!$J12</f>
        <v xml:space="preserve">Terdapat bukti dukung yang menunjukkan prosedur penerbitan MPHL BJS, SPHL dan SP3HL telah sesuai SOP
</v>
      </c>
      <c r="L12" s="25">
        <f>'[1]ADMIN_KK PROBIS'!$H12</f>
        <v>10</v>
      </c>
      <c r="M12" s="25">
        <f t="shared" si="1"/>
        <v>100</v>
      </c>
    </row>
    <row r="13" spans="1:13" x14ac:dyDescent="0.25">
      <c r="A13" s="12" t="s">
        <v>56</v>
      </c>
      <c r="B13" s="12"/>
      <c r="C13" s="12"/>
      <c r="D13" s="12"/>
      <c r="E13" s="12"/>
      <c r="F13" s="12"/>
      <c r="G13" s="12"/>
      <c r="H13" s="12"/>
      <c r="I13" s="27"/>
      <c r="J13" s="28"/>
      <c r="L13" s="29"/>
      <c r="M13" s="29"/>
    </row>
    <row r="14" spans="1:13" ht="345" x14ac:dyDescent="0.25">
      <c r="A14" s="17">
        <v>8</v>
      </c>
      <c r="B14" s="18" t="s">
        <v>57</v>
      </c>
      <c r="C14" s="18" t="s">
        <v>58</v>
      </c>
      <c r="D14" s="18" t="s">
        <v>59</v>
      </c>
      <c r="E14" s="18" t="s">
        <v>60</v>
      </c>
      <c r="F14" s="31" t="s">
        <v>61</v>
      </c>
      <c r="G14" s="21" t="s">
        <v>62</v>
      </c>
      <c r="H14" s="22">
        <v>10</v>
      </c>
      <c r="I14" s="23">
        <f t="shared" ref="I14:I16" si="2">IF(H14="N/A","N/A",IF(H14=10,100,IF(H14=7,70,IF(H14=5,50,IF(H14=8,80,IF(H14=0,0,""))))))</f>
        <v>100</v>
      </c>
      <c r="J14" s="24" t="str">
        <f>'[1]ADMIN_KK PROBIS'!$J14</f>
        <v xml:space="preserve">Terdapat bukti dukung yang menunjukkan proses pendaftaran, perubahan dan penonaktifan data supplier telah sesuai SOP
</v>
      </c>
      <c r="L14" s="25">
        <f>'[1]ADMIN_KK PROBIS'!$H14</f>
        <v>10</v>
      </c>
      <c r="M14" s="25">
        <f t="shared" ref="M14:M16" si="3">IF(L14="N/A","N/A",IF(L14=10,100,IF(L14=7,70,IF(L14=5,50,IF(L14=8,80,IF(L14=0,0,""))))))</f>
        <v>100</v>
      </c>
    </row>
    <row r="15" spans="1:13" ht="270" x14ac:dyDescent="0.25">
      <c r="A15" s="17">
        <v>9</v>
      </c>
      <c r="B15" s="18" t="s">
        <v>63</v>
      </c>
      <c r="C15" s="18" t="s">
        <v>64</v>
      </c>
      <c r="D15" s="18" t="s">
        <v>65</v>
      </c>
      <c r="E15" s="18" t="s">
        <v>66</v>
      </c>
      <c r="F15" s="31" t="s">
        <v>67</v>
      </c>
      <c r="G15" s="21" t="s">
        <v>68</v>
      </c>
      <c r="H15" s="22">
        <v>10</v>
      </c>
      <c r="I15" s="23">
        <f t="shared" si="2"/>
        <v>100</v>
      </c>
      <c r="J15" s="24" t="str">
        <f>'[1]ADMIN_KK PROBIS'!$J15</f>
        <v>Terdapat bukti dukung yang menunjukkan proses penonaktifan data pegawai dan data supplier dalam penerbitan SKPP telah sesuai SOP</v>
      </c>
      <c r="L15" s="25">
        <f>'[1]ADMIN_KK PROBIS'!$H15</f>
        <v>10</v>
      </c>
      <c r="M15" s="25">
        <f t="shared" si="3"/>
        <v>100</v>
      </c>
    </row>
    <row r="16" spans="1:13" ht="255" x14ac:dyDescent="0.25">
      <c r="A16" s="17">
        <v>10</v>
      </c>
      <c r="B16" s="18" t="s">
        <v>69</v>
      </c>
      <c r="C16" s="18" t="s">
        <v>70</v>
      </c>
      <c r="D16" s="18" t="s">
        <v>71</v>
      </c>
      <c r="E16" s="18" t="s">
        <v>72</v>
      </c>
      <c r="F16" s="20" t="s">
        <v>73</v>
      </c>
      <c r="G16" s="21" t="s">
        <v>74</v>
      </c>
      <c r="H16" s="22">
        <v>10</v>
      </c>
      <c r="I16" s="23">
        <f t="shared" si="2"/>
        <v>100</v>
      </c>
      <c r="J16" s="24" t="str">
        <f>'[1]ADMIN_KK PROBIS'!$J16</f>
        <v>Terdapat bukti dukung yang menunjukkan pengelolaan data kontrak telah sesuai SOP</v>
      </c>
      <c r="L16" s="25">
        <f>'[1]ADMIN_KK PROBIS'!$H16</f>
        <v>10</v>
      </c>
      <c r="M16" s="25">
        <f t="shared" si="3"/>
        <v>100</v>
      </c>
    </row>
    <row r="17" spans="1:13" x14ac:dyDescent="0.25">
      <c r="A17" s="12" t="s">
        <v>75</v>
      </c>
      <c r="B17" s="12"/>
      <c r="C17" s="12"/>
      <c r="D17" s="12"/>
      <c r="E17" s="12"/>
      <c r="F17" s="12"/>
      <c r="G17" s="12"/>
      <c r="H17" s="12"/>
      <c r="I17" s="27"/>
      <c r="J17" s="24">
        <f>'[1]ADMIN_KK PROBIS'!$J17</f>
        <v>0</v>
      </c>
      <c r="L17" s="29"/>
      <c r="M17" s="29"/>
    </row>
    <row r="18" spans="1:13" ht="210" x14ac:dyDescent="0.25">
      <c r="A18" s="17">
        <v>11</v>
      </c>
      <c r="B18" s="18" t="s">
        <v>76</v>
      </c>
      <c r="C18" s="18" t="s">
        <v>77</v>
      </c>
      <c r="D18" s="18" t="s">
        <v>78</v>
      </c>
      <c r="E18" s="18" t="s">
        <v>79</v>
      </c>
      <c r="F18" s="20" t="s">
        <v>80</v>
      </c>
      <c r="G18" s="21" t="s">
        <v>81</v>
      </c>
      <c r="H18" s="22">
        <v>10</v>
      </c>
      <c r="I18" s="23">
        <f t="shared" ref="I18:I19" si="4">IF(H18="N/A","N/A",IF(H18=10,100,IF(H18=7,70,IF(H18=5,50,IF(H18=8,80,IF(H18=0,0,""))))))</f>
        <v>100</v>
      </c>
      <c r="J18" s="24" t="str">
        <f>'[1]ADMIN_KK PROBIS'!$J18</f>
        <v>jan : 11
feb : 26
mar : 23
apr : 49
mei : 82
jun : 81
Mohon melampirkan monitoring transaksi KKP sd Juni 2026</v>
      </c>
      <c r="L18" s="25">
        <f>'[1]ADMIN_KK PROBIS'!$H18</f>
        <v>7</v>
      </c>
      <c r="M18" s="25">
        <f t="shared" ref="M18:M19" si="5">IF(L18="N/A","N/A",IF(L18=10,100,IF(L18=7,70,IF(L18=5,50,IF(L18=8,80,IF(L18=0,0,""))))))</f>
        <v>70</v>
      </c>
    </row>
    <row r="19" spans="1:13" ht="181.9" customHeight="1" x14ac:dyDescent="0.25">
      <c r="A19" s="17">
        <v>12</v>
      </c>
      <c r="B19" s="18" t="s">
        <v>82</v>
      </c>
      <c r="C19" s="18" t="s">
        <v>83</v>
      </c>
      <c r="D19" s="18" t="s">
        <v>84</v>
      </c>
      <c r="E19" s="18" t="s">
        <v>85</v>
      </c>
      <c r="F19" s="20" t="s">
        <v>86</v>
      </c>
      <c r="G19" s="21" t="s">
        <v>87</v>
      </c>
      <c r="H19" s="22">
        <v>10</v>
      </c>
      <c r="I19" s="23">
        <f t="shared" si="4"/>
        <v>100</v>
      </c>
      <c r="J19" s="24" t="str">
        <f>'[1]ADMIN_KK PROBIS'!$J19</f>
        <v>transaksi CMS triwulan I : 6806
transaksi CMS triwulan II : 16.303</v>
      </c>
      <c r="L19" s="25">
        <f>'[1]ADMIN_KK PROBIS'!$H19</f>
        <v>10</v>
      </c>
      <c r="M19" s="25">
        <f t="shared" si="5"/>
        <v>100</v>
      </c>
    </row>
    <row r="20" spans="1:13" x14ac:dyDescent="0.25">
      <c r="A20" s="12" t="s">
        <v>88</v>
      </c>
      <c r="B20" s="12"/>
      <c r="C20" s="12"/>
      <c r="D20" s="12"/>
      <c r="E20" s="12"/>
      <c r="F20" s="12"/>
      <c r="G20" s="16"/>
      <c r="H20" s="12"/>
      <c r="I20" s="27"/>
      <c r="J20" s="24">
        <f>'[1]ADMIN_KK PROBIS'!$J20</f>
        <v>0</v>
      </c>
      <c r="L20" s="29"/>
      <c r="M20" s="29"/>
    </row>
    <row r="21" spans="1:13" ht="409.6" customHeight="1" x14ac:dyDescent="0.25">
      <c r="A21" s="17">
        <v>13</v>
      </c>
      <c r="B21" s="18" t="s">
        <v>89</v>
      </c>
      <c r="C21" s="18" t="s">
        <v>90</v>
      </c>
      <c r="D21" s="18" t="s">
        <v>91</v>
      </c>
      <c r="E21" s="18" t="s">
        <v>92</v>
      </c>
      <c r="F21" s="20" t="s">
        <v>93</v>
      </c>
      <c r="G21" s="34" t="s">
        <v>94</v>
      </c>
      <c r="H21" s="22">
        <v>10</v>
      </c>
      <c r="I21" s="23">
        <f>IF(H21="N/A","N/A",IF(H21=10,100,IF(H21=7,70,IF(H21=5,50,IF(H21=8,80,IF(H21=0,0,""))))))</f>
        <v>100</v>
      </c>
      <c r="J21" s="24" t="str">
        <f>'[1]ADMIN_KK PROBIS'!$J21</f>
        <v>Terdapat keterlambatan penyetoran UP sebesar 10.800 pada satker 401962 (setoran dilakukan pada tanggal 9 Januari 2026).</v>
      </c>
      <c r="L21" s="25">
        <f>'[1]ADMIN_KK PROBIS'!$H21</f>
        <v>0</v>
      </c>
      <c r="M21" s="25">
        <f>IF(L21="N/A","N/A",IF(L21=10,100,IF(L21=7,70,IF(L21=5,50,IF(L21=8,80,IF(L21=0,0,""))))))</f>
        <v>0</v>
      </c>
    </row>
    <row r="22" spans="1:13" ht="180" x14ac:dyDescent="0.25">
      <c r="A22" s="17">
        <v>14</v>
      </c>
      <c r="B22" s="18" t="s">
        <v>95</v>
      </c>
      <c r="C22" s="18" t="s">
        <v>96</v>
      </c>
      <c r="D22" s="18" t="s">
        <v>97</v>
      </c>
      <c r="E22" s="18" t="s">
        <v>98</v>
      </c>
      <c r="F22" s="20" t="s">
        <v>99</v>
      </c>
      <c r="G22" s="35" t="s">
        <v>100</v>
      </c>
      <c r="H22" s="22">
        <v>10</v>
      </c>
      <c r="I22" s="23">
        <f>IF(H22="N/A","N/A",IF(H22=10,100,IF(H22=7,70,IF(H22=5,50,IF(H22=8,80,IF(H22=0,0,""))))))</f>
        <v>100</v>
      </c>
      <c r="J22" s="24" t="str">
        <f>'[1]ADMIN_KK PROBIS'!$J22</f>
        <v>Dokumen pendukung lengkap.
GUP terakhir yang diajukan tanggal 27-03-2026 merupakan SPM GUP PNBP.
Satker tidak dapat mengajukan GUP karena sampai dengan saat ini MP PNBP belum terbit, sehingga UP PNBP tidak bisa diajukan baik SPM Ganti Uang Persediaan maupun SPM Nihil UP</v>
      </c>
      <c r="L22" s="25">
        <f>'[1]ADMIN_KK PROBIS'!$H22</f>
        <v>10</v>
      </c>
      <c r="M22" s="25">
        <f>IF(L22="N/A","N/A",IF(L22=10,100,IF(L22=7,70,IF(L22=5,50,IF(L22=8,80,IF(L22=0,0,""))))))</f>
        <v>100</v>
      </c>
    </row>
    <row r="23" spans="1:13" x14ac:dyDescent="0.25">
      <c r="A23" s="12" t="s">
        <v>101</v>
      </c>
      <c r="B23" s="12"/>
      <c r="C23" s="12"/>
      <c r="D23" s="12"/>
      <c r="E23" s="12"/>
      <c r="F23" s="12"/>
      <c r="G23" s="36"/>
      <c r="H23" s="12"/>
      <c r="I23" s="27"/>
      <c r="J23" s="28"/>
      <c r="L23" s="29"/>
      <c r="M23" s="29"/>
    </row>
    <row r="24" spans="1:13" ht="183.75" customHeight="1" x14ac:dyDescent="0.25">
      <c r="A24" s="17">
        <v>15</v>
      </c>
      <c r="B24" s="18" t="s">
        <v>102</v>
      </c>
      <c r="C24" s="18" t="s">
        <v>103</v>
      </c>
      <c r="D24" s="18" t="s">
        <v>104</v>
      </c>
      <c r="E24" s="18" t="s">
        <v>105</v>
      </c>
      <c r="F24" s="31" t="s">
        <v>106</v>
      </c>
      <c r="G24" s="21" t="s">
        <v>107</v>
      </c>
      <c r="H24" s="22">
        <v>10</v>
      </c>
      <c r="I24" s="23">
        <f t="shared" ref="I24:I25" si="6">IF(H24="N/A","N/A",IF(H24=10,100,IF(H24=7,70,IF(H24=5,50,IF(H24=8,80,IF(H24=0,0,""))))))</f>
        <v>100</v>
      </c>
      <c r="J24" s="24" t="str">
        <f>'[1]ADMIN_KK PROBIS'!$J24</f>
        <v>Terdapat bukti dukung yang menunjukkan pembukaan dan penutupan rekening satker telah sesuai ketentuan</v>
      </c>
      <c r="L24" s="25">
        <f>'[1]ADMIN_KK PROBIS'!$H24</f>
        <v>10</v>
      </c>
      <c r="M24" s="25">
        <f t="shared" ref="M24:M25" si="7">IF(L24="N/A","N/A",IF(L24=10,100,IF(L24=7,70,IF(L24=5,50,IF(L24=8,80,IF(L24=0,0,""))))))</f>
        <v>100</v>
      </c>
    </row>
    <row r="25" spans="1:13" ht="165" x14ac:dyDescent="0.25">
      <c r="A25" s="17">
        <v>16</v>
      </c>
      <c r="B25" s="18" t="s">
        <v>108</v>
      </c>
      <c r="C25" s="18" t="s">
        <v>109</v>
      </c>
      <c r="D25" s="18" t="s">
        <v>110</v>
      </c>
      <c r="E25" s="18" t="s">
        <v>111</v>
      </c>
      <c r="F25" s="20" t="s">
        <v>112</v>
      </c>
      <c r="G25" s="21" t="s">
        <v>113</v>
      </c>
      <c r="H25" s="22">
        <v>10</v>
      </c>
      <c r="I25" s="23">
        <f t="shared" si="6"/>
        <v>100</v>
      </c>
      <c r="J25" s="24" t="str">
        <f>'[1]ADMIN_KK PROBIS'!$J25</f>
        <v xml:space="preserve">Dokumen sesuai ketentuan
</v>
      </c>
      <c r="L25" s="25">
        <f>'[1]ADMIN_KK PROBIS'!$H25</f>
        <v>10</v>
      </c>
      <c r="M25" s="25">
        <f t="shared" si="7"/>
        <v>100</v>
      </c>
    </row>
    <row r="26" spans="1:13" x14ac:dyDescent="0.25">
      <c r="A26" s="12" t="s">
        <v>114</v>
      </c>
      <c r="B26" s="12"/>
      <c r="C26" s="12"/>
      <c r="D26" s="12"/>
      <c r="E26" s="12"/>
      <c r="F26" s="12"/>
      <c r="G26" s="12"/>
      <c r="H26" s="12"/>
      <c r="I26" s="27"/>
      <c r="J26" s="28"/>
      <c r="L26" s="29"/>
      <c r="M26" s="29"/>
    </row>
    <row r="27" spans="1:13" ht="165" x14ac:dyDescent="0.25">
      <c r="A27" s="17">
        <v>17</v>
      </c>
      <c r="B27" s="18" t="s">
        <v>115</v>
      </c>
      <c r="C27" s="18" t="s">
        <v>116</v>
      </c>
      <c r="D27" s="18" t="s">
        <v>117</v>
      </c>
      <c r="E27" s="19" t="s">
        <v>118</v>
      </c>
      <c r="F27" s="31" t="s">
        <v>119</v>
      </c>
      <c r="G27" s="30" t="s">
        <v>120</v>
      </c>
      <c r="H27" s="22">
        <v>10</v>
      </c>
      <c r="I27" s="23">
        <f t="shared" ref="I27:I28" si="8">IF(H27="N/A","N/A",IF(H27=10,100,IF(H27=7,70,IF(H27=5,50,IF(H27=8,80,IF(H27=0,0,""))))))</f>
        <v>100</v>
      </c>
      <c r="J27" s="24" t="str">
        <f>'[1]ADMIN_KK PROBIS'!$J27</f>
        <v>Terdapat bukti dukung yang menunjukkan proses verifikasi LPJ Bendahara telah sesuai SOP</v>
      </c>
      <c r="L27" s="25">
        <f>'[1]ADMIN_KK PROBIS'!$H27</f>
        <v>10</v>
      </c>
      <c r="M27" s="25">
        <f t="shared" ref="M27:M28" si="9">IF(L27="N/A","N/A",IF(L27=10,100,IF(L27=7,70,IF(L27=5,50,IF(L27=8,80,IF(L27=0,0,""))))))</f>
        <v>100</v>
      </c>
    </row>
    <row r="28" spans="1:13" ht="186" customHeight="1" x14ac:dyDescent="0.25">
      <c r="A28" s="17">
        <v>18</v>
      </c>
      <c r="B28" s="18" t="s">
        <v>121</v>
      </c>
      <c r="C28" s="18" t="s">
        <v>122</v>
      </c>
      <c r="D28" s="18" t="s">
        <v>123</v>
      </c>
      <c r="E28" s="19"/>
      <c r="F28" s="20" t="s">
        <v>124</v>
      </c>
      <c r="G28" s="35" t="s">
        <v>125</v>
      </c>
      <c r="H28" s="22">
        <v>10</v>
      </c>
      <c r="I28" s="23">
        <f t="shared" si="8"/>
        <v>100</v>
      </c>
      <c r="J28" s="24" t="str">
        <f>'[1]ADMIN_KK PROBIS'!$J28</f>
        <v>Sampai dengan bulan Mei 2026, seluruh penyampaian LPJ Bendahara telah dilakukan tepat waktu</v>
      </c>
      <c r="L28" s="25">
        <f>'[1]ADMIN_KK PROBIS'!$H28</f>
        <v>10</v>
      </c>
      <c r="M28" s="25">
        <f t="shared" si="9"/>
        <v>100</v>
      </c>
    </row>
    <row r="29" spans="1:13" x14ac:dyDescent="0.25">
      <c r="A29" s="12" t="s">
        <v>126</v>
      </c>
      <c r="B29" s="12"/>
      <c r="C29" s="12"/>
      <c r="D29" s="12"/>
      <c r="E29" s="12"/>
      <c r="F29" s="12"/>
      <c r="G29" s="36"/>
      <c r="H29" s="12"/>
      <c r="I29" s="27"/>
      <c r="J29" s="28"/>
      <c r="L29" s="29"/>
      <c r="M29" s="29"/>
    </row>
    <row r="30" spans="1:13" ht="225" x14ac:dyDescent="0.25">
      <c r="A30" s="17">
        <v>19</v>
      </c>
      <c r="B30" s="18" t="s">
        <v>127</v>
      </c>
      <c r="C30" s="18" t="s">
        <v>128</v>
      </c>
      <c r="D30" s="18" t="s">
        <v>129</v>
      </c>
      <c r="E30" s="18" t="s">
        <v>130</v>
      </c>
      <c r="F30" s="31" t="s">
        <v>131</v>
      </c>
      <c r="G30" s="21" t="s">
        <v>132</v>
      </c>
      <c r="H30" s="22">
        <v>10</v>
      </c>
      <c r="I30" s="23">
        <f t="shared" ref="I30:I31" si="10">IF(H30="N/A","N/A",IF(H30=10,100,IF(H30=7,70,IF(H30=5,50,IF(H30=8,80,IF(H30=0,0,""))))))</f>
        <v>100</v>
      </c>
      <c r="J30" s="24" t="str">
        <f>'[1]ADMIN_KK PROBIS'!$J30</f>
        <v>Terdapat bukti dukung yang menunjukkan KPPN telah menindaklanjuti to do list</v>
      </c>
      <c r="L30" s="25">
        <f>'[1]ADMIN_KK PROBIS'!$H30</f>
        <v>10</v>
      </c>
      <c r="M30" s="25">
        <f t="shared" ref="M30:M31" si="11">IF(L30="N/A","N/A",IF(L30=10,100,IF(L30=7,70,IF(L30=5,50,IF(L30=8,80,IF(L30=0,0,""))))))</f>
        <v>100</v>
      </c>
    </row>
    <row r="31" spans="1:13" ht="240" x14ac:dyDescent="0.25">
      <c r="A31" s="17">
        <v>20</v>
      </c>
      <c r="B31" s="18" t="s">
        <v>133</v>
      </c>
      <c r="C31" s="18" t="s">
        <v>134</v>
      </c>
      <c r="D31" s="18" t="s">
        <v>135</v>
      </c>
      <c r="E31" s="18" t="s">
        <v>136</v>
      </c>
      <c r="F31" s="31" t="s">
        <v>137</v>
      </c>
      <c r="G31" s="32" t="s">
        <v>138</v>
      </c>
      <c r="H31" s="22">
        <v>10</v>
      </c>
      <c r="I31" s="23">
        <f t="shared" si="10"/>
        <v>100</v>
      </c>
      <c r="J31" s="24" t="str">
        <f>'[1]ADMIN_KK PROBIS'!$J31</f>
        <v>Terdapat bukti dukung yang menunjukkan  dalam proses tindak lanjut hasil analisa DTK SPAN, seluruh anomali telah ditindaklanjuti.
Mohon menambahkan lampiran berupa Laporan Analisis Keuangan BUN Bulan Maret, April, Mei 2026</v>
      </c>
      <c r="L31" s="25">
        <f>'[1]ADMIN_KK PROBIS'!$H31</f>
        <v>10</v>
      </c>
      <c r="M31" s="25">
        <f t="shared" si="11"/>
        <v>100</v>
      </c>
    </row>
    <row r="32" spans="1:13" x14ac:dyDescent="0.25">
      <c r="A32" s="12" t="s">
        <v>139</v>
      </c>
      <c r="B32" s="12"/>
      <c r="C32" s="12"/>
      <c r="D32" s="12"/>
      <c r="E32" s="12"/>
      <c r="F32" s="12"/>
      <c r="G32" s="12"/>
      <c r="H32" s="12"/>
      <c r="I32" s="27"/>
      <c r="J32" s="28"/>
      <c r="L32" s="29"/>
      <c r="M32" s="29"/>
    </row>
    <row r="33" spans="1:13" ht="165" x14ac:dyDescent="0.25">
      <c r="A33" s="17">
        <v>21</v>
      </c>
      <c r="B33" s="18" t="s">
        <v>140</v>
      </c>
      <c r="C33" s="18" t="s">
        <v>141</v>
      </c>
      <c r="D33" s="18" t="s">
        <v>142</v>
      </c>
      <c r="E33" s="18" t="s">
        <v>143</v>
      </c>
      <c r="F33" s="20" t="s">
        <v>144</v>
      </c>
      <c r="G33" s="21" t="s">
        <v>145</v>
      </c>
      <c r="H33" s="22">
        <v>10</v>
      </c>
      <c r="I33" s="23">
        <f t="shared" ref="I33:I35" si="12">IF(H33="N/A","N/A",IF(H33=10,100,IF(H33=7,70,IF(H33=5,50,IF(H33=8,80,IF(H33=0,0,""))))))</f>
        <v>100</v>
      </c>
      <c r="J33" s="24" t="str">
        <f>'[1]ADMIN_KK PROBIS'!$J33</f>
        <v>Terdapat bukti dukung yang menunjukkan penerbitan BA Peminjaman User SPAN/Sakti sudah diterbitkan sesuai ketentuan</v>
      </c>
      <c r="L33" s="25">
        <f>'[1]ADMIN_KK PROBIS'!$H33</f>
        <v>10</v>
      </c>
      <c r="M33" s="25">
        <f t="shared" ref="M33:M35" si="13">IF(L33="N/A","N/A",IF(L33=10,100,IF(L33=7,70,IF(L33=5,50,IF(L33=8,80,IF(L33=0,0,""))))))</f>
        <v>100</v>
      </c>
    </row>
    <row r="34" spans="1:13" ht="135" x14ac:dyDescent="0.25">
      <c r="A34" s="17">
        <v>22</v>
      </c>
      <c r="B34" s="18" t="s">
        <v>146</v>
      </c>
      <c r="C34" s="18" t="s">
        <v>147</v>
      </c>
      <c r="D34" s="18" t="s">
        <v>148</v>
      </c>
      <c r="E34" s="18" t="s">
        <v>149</v>
      </c>
      <c r="F34" s="20" t="s">
        <v>150</v>
      </c>
      <c r="G34" s="21" t="s">
        <v>151</v>
      </c>
      <c r="H34" s="22">
        <v>10</v>
      </c>
      <c r="I34" s="23">
        <f t="shared" si="12"/>
        <v>100</v>
      </c>
      <c r="J34" s="24" t="str">
        <f>'[1]ADMIN_KK PROBIS'!$J34</f>
        <v>Terdapat bukti dukung yang menunjukkan pada sampel yang diambil  telah ditindaklanjuti dan dilengkapi dengan dokumen sesuai ketentuan</v>
      </c>
      <c r="L34" s="25">
        <f>'[1]ADMIN_KK PROBIS'!$H34</f>
        <v>10</v>
      </c>
      <c r="M34" s="25">
        <f t="shared" si="13"/>
        <v>100</v>
      </c>
    </row>
    <row r="35" spans="1:13" ht="183.75" customHeight="1" x14ac:dyDescent="0.25">
      <c r="A35" s="17">
        <v>23</v>
      </c>
      <c r="B35" s="18" t="s">
        <v>152</v>
      </c>
      <c r="C35" s="18" t="s">
        <v>153</v>
      </c>
      <c r="D35" s="18" t="s">
        <v>154</v>
      </c>
      <c r="E35" s="18" t="s">
        <v>155</v>
      </c>
      <c r="F35" s="20" t="s">
        <v>156</v>
      </c>
      <c r="G35" s="21" t="s">
        <v>157</v>
      </c>
      <c r="H35" s="22">
        <v>10</v>
      </c>
      <c r="I35" s="23">
        <f t="shared" si="12"/>
        <v>100</v>
      </c>
      <c r="J35" s="24" t="str">
        <f>'[1]ADMIN_KK PROBIS'!$J35</f>
        <v>Terdapat bukti dukung yang menunjukkan pada sampel yang diambil  telah ditindaklanjuti dan dilengkapi dengan dokumen sesuai ketentuan</v>
      </c>
      <c r="L35" s="25">
        <f>'[1]ADMIN_KK PROBIS'!$H35</f>
        <v>10</v>
      </c>
      <c r="M35" s="25">
        <f t="shared" si="13"/>
        <v>100</v>
      </c>
    </row>
    <row r="36" spans="1:13" ht="210" x14ac:dyDescent="0.25">
      <c r="A36" s="17">
        <v>24</v>
      </c>
      <c r="B36" s="18" t="s">
        <v>158</v>
      </c>
      <c r="C36" s="18" t="s">
        <v>159</v>
      </c>
      <c r="D36" s="18" t="s">
        <v>160</v>
      </c>
      <c r="E36" s="18" t="s">
        <v>161</v>
      </c>
      <c r="F36" s="31" t="s">
        <v>162</v>
      </c>
      <c r="G36" s="21" t="s">
        <v>163</v>
      </c>
      <c r="H36" s="22">
        <v>10</v>
      </c>
      <c r="I36" s="23">
        <f>IF(H36="N/A","N/A",IF(H36=10,100,IF(H36=7,70,IF(H36=5,50,IF(H36=8,80,IF(H36=0,0,""))))))</f>
        <v>100</v>
      </c>
      <c r="J36" s="24" t="str">
        <f>'[1]ADMIN_KK PROBIS'!$J36</f>
        <v>Terdapat bukti dukung yang menunjukkan SK Penunjukkan (KEP-31/WPB.03/2026), seluruh perangkat telah join domain dan sudah terdapat form penguatan keamanan informasi.</v>
      </c>
      <c r="L36" s="25">
        <f>'[1]ADMIN_KK PROBIS'!$H36</f>
        <v>10</v>
      </c>
      <c r="M36" s="25">
        <f>IF(L36="N/A","N/A",IF(L36=10,100,IF(L36=7,70,IF(L36=5,50,IF(L36=8,80,IF(L36=0,0,""))))))</f>
        <v>100</v>
      </c>
    </row>
    <row r="37" spans="1:13" x14ac:dyDescent="0.25">
      <c r="A37" s="12" t="s">
        <v>164</v>
      </c>
      <c r="B37" s="12"/>
      <c r="C37" s="12"/>
      <c r="D37" s="12"/>
      <c r="E37" s="12"/>
      <c r="F37" s="12"/>
      <c r="G37" s="12"/>
      <c r="H37" s="12"/>
      <c r="I37" s="27"/>
      <c r="J37" s="28"/>
      <c r="L37" s="29"/>
      <c r="M37" s="29"/>
    </row>
    <row r="38" spans="1:13" ht="165" x14ac:dyDescent="0.25">
      <c r="A38" s="17">
        <v>25</v>
      </c>
      <c r="B38" s="18" t="s">
        <v>165</v>
      </c>
      <c r="C38" s="18" t="s">
        <v>166</v>
      </c>
      <c r="D38" s="18" t="s">
        <v>167</v>
      </c>
      <c r="E38" s="18" t="s">
        <v>168</v>
      </c>
      <c r="F38" s="20" t="s">
        <v>169</v>
      </c>
      <c r="G38" s="21" t="s">
        <v>170</v>
      </c>
      <c r="H38" s="22">
        <v>10</v>
      </c>
      <c r="I38" s="23">
        <f>IF(H38="N/A","N/A",IF(H38=10,100,IF(H38=7,70,IF(H38=5,50,IF(H38=8,80,IF(H38=0,0,""))))))</f>
        <v>100</v>
      </c>
      <c r="J38" s="24" t="str">
        <f>'[1]ADMIN_KK PROBIS'!$J38</f>
        <v>Penyaluran Dana Desa telah dilakukan sesuai ketentuan (persentase penyaluran sd Juni 2026 : 51,48%)
Penyaluran DAK Fisik Tahap I masih dalam tahapan penyaluran dengan batas waktu upload dokumen syarat s.d 22 Juli 2026.</v>
      </c>
      <c r="L38" s="25">
        <f>'[1]ADMIN_KK PROBIS'!$H38</f>
        <v>10</v>
      </c>
      <c r="M38" s="25">
        <f>IF(L38="N/A","N/A",IF(L38=10,100,IF(L38=7,70,IF(L38=5,50,IF(L38=8,80,IF(L38=0,0,""))))))</f>
        <v>100</v>
      </c>
    </row>
    <row r="39" spans="1:13" x14ac:dyDescent="0.25">
      <c r="A39" s="12" t="s">
        <v>171</v>
      </c>
      <c r="B39" s="12"/>
      <c r="C39" s="12"/>
      <c r="D39" s="12"/>
      <c r="E39" s="12"/>
      <c r="F39" s="12"/>
      <c r="G39" s="12"/>
      <c r="H39" s="12"/>
      <c r="I39" s="27"/>
      <c r="J39" s="28"/>
      <c r="L39" s="29"/>
      <c r="M39" s="29"/>
    </row>
    <row r="40" spans="1:13" ht="255" x14ac:dyDescent="0.25">
      <c r="A40" s="17">
        <v>26</v>
      </c>
      <c r="B40" s="18" t="s">
        <v>172</v>
      </c>
      <c r="C40" s="18" t="s">
        <v>173</v>
      </c>
      <c r="D40" s="18" t="s">
        <v>174</v>
      </c>
      <c r="E40" s="18" t="s">
        <v>175</v>
      </c>
      <c r="F40" s="20" t="s">
        <v>176</v>
      </c>
      <c r="G40" s="21" t="s">
        <v>177</v>
      </c>
      <c r="H40" s="22">
        <v>10</v>
      </c>
      <c r="I40" s="23">
        <f>IF(H40="N/A","N/A",IF(H40=10,100,IF(H40=7,70,IF(H40=5,50,IF(H40=8,80,IF(H40=0,0,""))))))</f>
        <v>100</v>
      </c>
      <c r="J40" s="24" t="str">
        <f>'[1]ADMIN_KK PROBIS'!$J40</f>
        <v xml:space="preserve">Terdapat bukti dukung yang menunjukkan pecocokan data telah dilakukan 100% terhadap seluruh data debitur </v>
      </c>
      <c r="L40" s="25">
        <f>'[1]ADMIN_KK PROBIS'!$H40</f>
        <v>10</v>
      </c>
      <c r="M40" s="25">
        <f>IF(L40="N/A","N/A",IF(L40=10,100,IF(L40=7,70,IF(L40=5,50,IF(L40=8,80,IF(L40=0,0,""))))))</f>
        <v>100</v>
      </c>
    </row>
    <row r="41" spans="1:13" x14ac:dyDescent="0.25">
      <c r="A41" s="17"/>
      <c r="B41" s="18"/>
      <c r="C41" s="37"/>
      <c r="D41" s="37"/>
      <c r="E41" s="18"/>
      <c r="F41" s="20"/>
      <c r="G41" s="38"/>
      <c r="H41" s="22"/>
      <c r="I41" s="23"/>
      <c r="J41" s="24"/>
      <c r="L41" s="25"/>
      <c r="M41" s="25"/>
    </row>
    <row r="42" spans="1:13" x14ac:dyDescent="0.25">
      <c r="A42" s="12" t="s">
        <v>178</v>
      </c>
      <c r="B42" s="12"/>
      <c r="C42" s="12"/>
      <c r="D42" s="12"/>
      <c r="E42" s="12"/>
      <c r="F42" s="12"/>
      <c r="G42" s="12"/>
      <c r="H42" s="12"/>
      <c r="I42" s="27"/>
      <c r="J42" s="28"/>
      <c r="L42" s="29"/>
      <c r="M42" s="29"/>
    </row>
    <row r="43" spans="1:13" x14ac:dyDescent="0.25">
      <c r="A43" s="12" t="s">
        <v>179</v>
      </c>
      <c r="B43" s="12"/>
      <c r="C43" s="12"/>
      <c r="D43" s="12"/>
      <c r="E43" s="16"/>
      <c r="F43" s="16"/>
      <c r="G43" s="16"/>
      <c r="H43" s="16"/>
      <c r="I43" s="39"/>
      <c r="J43" s="40"/>
      <c r="L43" s="29"/>
      <c r="M43" s="29"/>
    </row>
    <row r="44" spans="1:13" ht="259.5" customHeight="1" x14ac:dyDescent="0.25">
      <c r="A44" s="17">
        <v>27</v>
      </c>
      <c r="B44" s="18" t="s">
        <v>180</v>
      </c>
      <c r="C44" s="18" t="s">
        <v>181</v>
      </c>
      <c r="D44" s="20" t="s">
        <v>182</v>
      </c>
      <c r="E44" s="38" t="s">
        <v>183</v>
      </c>
      <c r="F44" s="38" t="s">
        <v>184</v>
      </c>
      <c r="G44" s="35" t="s">
        <v>185</v>
      </c>
      <c r="H44" s="41">
        <v>10</v>
      </c>
      <c r="I44" s="42">
        <f>IF(H44="N/A","N/A",IF(H44=10,100,IF(H44=7,70,IF(H44=5,50,IF(H44=8,80,IF(H44=0,0,""))))))</f>
        <v>100</v>
      </c>
      <c r="J44" s="24" t="str">
        <f>'[1]ADMIN_KK PROBIS'!$J44</f>
        <v>Analisis permasalahan telah dilakukan dengan menggunakan metode analisis tertentu yaitu fishbone diagram.
Mohon menambahkan lampiran yaitu laporan analisis periode Triwulan I 2026.</v>
      </c>
      <c r="L44" s="25">
        <f>'[1]ADMIN_KK PROBIS'!$H44</f>
        <v>10</v>
      </c>
      <c r="M44" s="25">
        <f>IF(L44="N/A","N/A",IF(L44=10,100,IF(L44=7,70,IF(L44=5,50,IF(L44=8,80,IF(L44=0,0,""))))))</f>
        <v>100</v>
      </c>
    </row>
    <row r="45" spans="1:13" x14ac:dyDescent="0.25">
      <c r="A45" s="12" t="s">
        <v>186</v>
      </c>
      <c r="B45" s="12"/>
      <c r="C45" s="12"/>
      <c r="D45" s="12"/>
      <c r="E45" s="36"/>
      <c r="F45" s="43"/>
      <c r="G45" s="43"/>
      <c r="H45" s="43"/>
      <c r="I45" s="44"/>
      <c r="J45" s="45"/>
      <c r="L45" s="29"/>
      <c r="M45" s="29"/>
    </row>
    <row r="46" spans="1:13" ht="285" x14ac:dyDescent="0.25">
      <c r="A46" s="17">
        <v>28</v>
      </c>
      <c r="B46" s="18" t="s">
        <v>187</v>
      </c>
      <c r="C46" s="18" t="s">
        <v>188</v>
      </c>
      <c r="D46" s="18" t="s">
        <v>189</v>
      </c>
      <c r="E46" s="20" t="s">
        <v>190</v>
      </c>
      <c r="F46" s="38" t="s">
        <v>191</v>
      </c>
      <c r="G46" s="21" t="s">
        <v>192</v>
      </c>
      <c r="H46" s="41">
        <v>10</v>
      </c>
      <c r="I46" s="42">
        <f>IF(H46="N/A","N/A",IF(H46=10,100,IF(H46=7,70,IF(H46=5,50,IF(H46=8,80,IF(H46=0,0,""))))))</f>
        <v>100</v>
      </c>
      <c r="J46" s="46" t="str">
        <f>'[1]ADMIN_KK PROBIS'!$J46</f>
        <v>Dokumen lengkap sesuai ketentuan</v>
      </c>
      <c r="L46" s="25">
        <f>'[1]ADMIN_KK PROBIS'!$H46</f>
        <v>10</v>
      </c>
      <c r="M46" s="25">
        <f>IF(L46="N/A","N/A",IF(L46=10,100,IF(L46=7,70,IF(L46=5,50,IF(L46=8,80,IF(L46=0,0,""))))))</f>
        <v>100</v>
      </c>
    </row>
    <row r="47" spans="1:13" x14ac:dyDescent="0.25">
      <c r="A47" s="12" t="s">
        <v>193</v>
      </c>
      <c r="B47" s="12"/>
      <c r="C47" s="12"/>
      <c r="D47" s="12"/>
      <c r="E47" s="12"/>
      <c r="F47" s="36"/>
      <c r="G47" s="36"/>
      <c r="H47" s="36"/>
      <c r="I47" s="47"/>
      <c r="J47" s="28"/>
      <c r="L47" s="29"/>
      <c r="M47" s="29"/>
    </row>
    <row r="48" spans="1:13" ht="199.5" customHeight="1" x14ac:dyDescent="0.25">
      <c r="A48" s="17">
        <v>29</v>
      </c>
      <c r="B48" s="18" t="s">
        <v>194</v>
      </c>
      <c r="C48" s="18" t="s">
        <v>195</v>
      </c>
      <c r="D48" s="18" t="s">
        <v>196</v>
      </c>
      <c r="E48" s="18" t="s">
        <v>197</v>
      </c>
      <c r="F48" s="20" t="s">
        <v>198</v>
      </c>
      <c r="G48" s="35" t="s">
        <v>199</v>
      </c>
      <c r="H48" s="22">
        <v>10</v>
      </c>
      <c r="I48" s="23">
        <f>IF(H48="N/A","N/A",IF(H48=10,100,IF(H48=7,70,IF(H48=5,50,IF(H48=8,80,IF(H48=0,0,""))))))</f>
        <v>100</v>
      </c>
      <c r="J48" s="24" t="str">
        <f>'[1]ADMIN_KK PROBIS'!$J48</f>
        <v xml:space="preserve">Persentase tindak lanjut analisis &gt;80% dan Laporan PFK Semester II 2025 telah disampaikan secara tepat waktu. 
</v>
      </c>
      <c r="L48" s="25">
        <f>'[1]ADMIN_KK PROBIS'!$H48</f>
        <v>10</v>
      </c>
      <c r="M48" s="25">
        <f>IF(L48="N/A","N/A",IF(L48=10,100,IF(L48=7,70,IF(L48=5,50,IF(L48=8,80,IF(L48=0,0,""))))))</f>
        <v>100</v>
      </c>
    </row>
    <row r="49" spans="1:13" x14ac:dyDescent="0.25">
      <c r="A49" s="12" t="s">
        <v>200</v>
      </c>
      <c r="B49" s="12"/>
      <c r="C49" s="12"/>
      <c r="D49" s="12"/>
      <c r="E49" s="12"/>
      <c r="F49" s="12"/>
      <c r="G49" s="12"/>
      <c r="H49" s="12"/>
      <c r="I49" s="27"/>
      <c r="J49" s="28"/>
      <c r="L49" s="29"/>
      <c r="M49" s="29"/>
    </row>
    <row r="50" spans="1:13" ht="203.25" customHeight="1" x14ac:dyDescent="0.25">
      <c r="A50" s="17">
        <v>30</v>
      </c>
      <c r="B50" s="18" t="s">
        <v>201</v>
      </c>
      <c r="C50" s="18" t="s">
        <v>202</v>
      </c>
      <c r="D50" s="18" t="s">
        <v>203</v>
      </c>
      <c r="E50" s="18" t="s">
        <v>204</v>
      </c>
      <c r="F50" s="48" t="s">
        <v>205</v>
      </c>
      <c r="G50" s="32" t="s">
        <v>206</v>
      </c>
      <c r="H50" s="22">
        <v>10</v>
      </c>
      <c r="I50" s="23">
        <f>IF(H50="N/A","N/A",IF(H50=10,100,IF(H50=7,70,IF(H50=5,50,IF(H50=8,80,IF(H50=0,0,""))))))</f>
        <v>100</v>
      </c>
      <c r="J50" s="24" t="str">
        <f>'[1]ADMIN_KK PROBIS'!$J50</f>
        <v>Jan: 5
Feb : 2
Mar :5
apr : 7
mei : 9
jun : 17
Rata-rata penyampaian &gt;4x sebulan
mohon menambahkan screenshot bulan april - juni</v>
      </c>
      <c r="L50" s="25">
        <f>'[1]ADMIN_KK PROBIS'!$H50</f>
        <v>10</v>
      </c>
      <c r="M50" s="25">
        <f>IF(L50="N/A","N/A",IF(L50=10,100,IF(L50=7,70,IF(L50=5,50,IF(L50=8,80,IF(L50=0,0,""))))))</f>
        <v>100</v>
      </c>
    </row>
    <row r="51" spans="1:13" x14ac:dyDescent="0.25">
      <c r="A51" s="17"/>
      <c r="B51" s="18"/>
      <c r="C51" s="37"/>
      <c r="D51" s="37"/>
      <c r="E51" s="18"/>
      <c r="F51" s="20"/>
      <c r="G51" s="38"/>
      <c r="H51" s="22"/>
      <c r="I51" s="23"/>
      <c r="J51" s="24"/>
      <c r="L51" s="25"/>
      <c r="M51" s="25"/>
    </row>
    <row r="52" spans="1:13" x14ac:dyDescent="0.25">
      <c r="A52" s="12" t="s">
        <v>207</v>
      </c>
      <c r="B52" s="12"/>
      <c r="C52" s="12"/>
      <c r="D52" s="12"/>
      <c r="E52" s="12"/>
      <c r="F52" s="12"/>
      <c r="G52" s="12"/>
      <c r="H52" s="12"/>
      <c r="I52" s="27"/>
      <c r="J52" s="28"/>
      <c r="L52" s="29"/>
      <c r="M52" s="29"/>
    </row>
    <row r="53" spans="1:13" x14ac:dyDescent="0.25">
      <c r="A53" s="12" t="s">
        <v>208</v>
      </c>
      <c r="B53" s="12"/>
      <c r="C53" s="12"/>
      <c r="D53" s="12"/>
      <c r="E53" s="12"/>
      <c r="F53" s="49"/>
      <c r="G53" s="50"/>
      <c r="H53" s="51"/>
      <c r="I53" s="27"/>
      <c r="J53" s="28"/>
      <c r="L53" s="29"/>
      <c r="M53" s="29"/>
    </row>
    <row r="54" spans="1:13" x14ac:dyDescent="0.25">
      <c r="A54" s="12" t="s">
        <v>209</v>
      </c>
      <c r="B54" s="12"/>
      <c r="C54" s="12"/>
      <c r="D54" s="12"/>
      <c r="E54" s="12"/>
      <c r="F54" s="49"/>
      <c r="G54" s="50"/>
      <c r="H54" s="51"/>
      <c r="I54" s="27"/>
      <c r="J54" s="28"/>
      <c r="L54" s="29"/>
      <c r="M54" s="29"/>
    </row>
    <row r="55" spans="1:13" ht="270" x14ac:dyDescent="0.25">
      <c r="A55" s="17">
        <v>31</v>
      </c>
      <c r="B55" s="18" t="s">
        <v>210</v>
      </c>
      <c r="C55" s="18" t="s">
        <v>211</v>
      </c>
      <c r="D55" s="18" t="s">
        <v>212</v>
      </c>
      <c r="E55" s="18" t="s">
        <v>213</v>
      </c>
      <c r="F55" s="20" t="s">
        <v>214</v>
      </c>
      <c r="G55" s="21" t="s">
        <v>215</v>
      </c>
      <c r="H55" s="22">
        <v>10</v>
      </c>
      <c r="I55" s="23">
        <f t="shared" ref="I55:I56" si="14">IF(H55="N/A","N/A",IF(H55=10,100,IF(H55=7,70,IF(H55=5,50,IF(H55=8,80,IF(H55=0,0,""))))))</f>
        <v>100</v>
      </c>
      <c r="J55" s="24" t="str">
        <f>'[1]ADMIN_KK PROBIS'!$J55</f>
        <v>KPPN telah melakukan upaya percepatan leveling sertifikasi melalui kegiatan Sosialisasi dan telah menyediakan monitoring data pejabat perbendaharaan tersertifikasi.</v>
      </c>
      <c r="L55" s="25">
        <f>'[1]ADMIN_KK PROBIS'!$H55</f>
        <v>10</v>
      </c>
      <c r="M55" s="25">
        <f t="shared" ref="M55:M56" si="15">IF(L55="N/A","N/A",IF(L55=10,100,IF(L55=7,70,IF(L55=5,50,IF(L55=8,80,IF(L55=0,0,""))))))</f>
        <v>100</v>
      </c>
    </row>
    <row r="56" spans="1:13" ht="270" x14ac:dyDescent="0.25">
      <c r="A56" s="17">
        <v>32</v>
      </c>
      <c r="B56" s="18" t="s">
        <v>216</v>
      </c>
      <c r="C56" s="18" t="s">
        <v>217</v>
      </c>
      <c r="D56" s="18" t="s">
        <v>218</v>
      </c>
      <c r="E56" s="18" t="s">
        <v>213</v>
      </c>
      <c r="F56" s="20" t="s">
        <v>219</v>
      </c>
      <c r="G56" s="30" t="s">
        <v>220</v>
      </c>
      <c r="H56" s="22">
        <v>10</v>
      </c>
      <c r="I56" s="23">
        <f t="shared" si="14"/>
        <v>100</v>
      </c>
      <c r="J56" s="24" t="str">
        <f>'[1]ADMIN_KK PROBIS'!$J56</f>
        <v>Jumlah pejabat tersertifikasi sebesar 99%.
Dokumen lengkap.</v>
      </c>
      <c r="L56" s="25">
        <f>'[1]ADMIN_KK PROBIS'!$H56</f>
        <v>10</v>
      </c>
      <c r="M56" s="25">
        <f t="shared" si="15"/>
        <v>100</v>
      </c>
    </row>
    <row r="57" spans="1:13" ht="165" x14ac:dyDescent="0.25">
      <c r="A57" s="17">
        <v>33</v>
      </c>
      <c r="B57" s="18" t="s">
        <v>221</v>
      </c>
      <c r="C57" s="18" t="s">
        <v>222</v>
      </c>
      <c r="D57" s="18" t="s">
        <v>223</v>
      </c>
      <c r="E57" s="18" t="s">
        <v>224</v>
      </c>
      <c r="F57" s="20" t="s">
        <v>225</v>
      </c>
      <c r="G57" s="35" t="s">
        <v>226</v>
      </c>
      <c r="H57" s="22">
        <v>10</v>
      </c>
      <c r="I57" s="23">
        <f>IF(H57="N/A","N/A",IF(H57=10,100,IF(H57=7,70,IF(H57=5,50,IF(H57=8,80,IF(H57=0,0,""))))))</f>
        <v>100</v>
      </c>
      <c r="J57" s="24" t="str">
        <f>'[1]ADMIN_KK PROBIS'!$J57</f>
        <v>KPPN telah melakukan monev dan melakukan tindak lanjut atas hasil monev.</v>
      </c>
      <c r="L57" s="25">
        <f>'[1]ADMIN_KK PROBIS'!$H57</f>
        <v>10</v>
      </c>
      <c r="M57" s="25">
        <f>IF(L57="N/A","N/A",IF(L57=10,100,IF(L57=7,70,IF(L57=5,50,IF(L57=8,80,IF(L57=0,0,""))))))</f>
        <v>100</v>
      </c>
    </row>
    <row r="58" spans="1:13" x14ac:dyDescent="0.25">
      <c r="A58" s="12" t="s">
        <v>227</v>
      </c>
      <c r="B58" s="12"/>
      <c r="C58" s="12"/>
      <c r="D58" s="12"/>
      <c r="E58" s="12"/>
      <c r="F58" s="49"/>
      <c r="G58" s="52"/>
      <c r="H58" s="51"/>
      <c r="I58" s="27"/>
      <c r="J58" s="28"/>
      <c r="L58" s="29"/>
      <c r="M58" s="29"/>
    </row>
    <row r="59" spans="1:13" ht="236.25" customHeight="1" x14ac:dyDescent="0.25">
      <c r="A59" s="17">
        <v>34</v>
      </c>
      <c r="B59" s="18" t="s">
        <v>228</v>
      </c>
      <c r="C59" s="18" t="s">
        <v>229</v>
      </c>
      <c r="D59" s="18" t="s">
        <v>230</v>
      </c>
      <c r="E59" s="18" t="s">
        <v>231</v>
      </c>
      <c r="F59" s="31" t="s">
        <v>232</v>
      </c>
      <c r="G59" s="34" t="s">
        <v>233</v>
      </c>
      <c r="H59" s="22">
        <v>10</v>
      </c>
      <c r="I59" s="23">
        <f t="shared" ref="I59:I60" si="16">IF(H59="N/A","N/A",IF(H59=10,100,IF(H59=7,70,IF(H59=5,50,IF(H59=8,80,IF(H59=0,0,""))))))</f>
        <v>100</v>
      </c>
      <c r="J59" s="24" t="str">
        <f>'[1]ADMIN_KK PROBIS'!$J59</f>
        <v>Kegiatan telah dilaksanakan pada periode Triwulan I dan II 2026. Bukti dukung memadai.</v>
      </c>
      <c r="L59" s="25">
        <f>'[1]ADMIN_KK PROBIS'!$H59</f>
        <v>10</v>
      </c>
      <c r="M59" s="25">
        <f t="shared" ref="M59:M60" si="17">IF(L59="N/A","N/A",IF(L59=10,100,IF(L59=7,70,IF(L59=5,50,IF(L59=8,80,IF(L59=0,0,""))))))</f>
        <v>100</v>
      </c>
    </row>
    <row r="60" spans="1:13" ht="225" x14ac:dyDescent="0.25">
      <c r="A60" s="17">
        <v>35</v>
      </c>
      <c r="B60" s="18" t="s">
        <v>234</v>
      </c>
      <c r="C60" s="18" t="s">
        <v>235</v>
      </c>
      <c r="D60" s="18" t="s">
        <v>236</v>
      </c>
      <c r="E60" s="18" t="s">
        <v>231</v>
      </c>
      <c r="F60" s="20" t="s">
        <v>237</v>
      </c>
      <c r="G60" s="35" t="s">
        <v>238</v>
      </c>
      <c r="H60" s="22">
        <v>10</v>
      </c>
      <c r="I60" s="23">
        <f t="shared" si="16"/>
        <v>100</v>
      </c>
      <c r="J60" s="24" t="str">
        <f>'[1]ADMIN_KK PROBIS'!$J60</f>
        <v>Kegiatan telah dilaksanakan pada periode Triwulan I dan II 2026. Bukti dukung memadai.</v>
      </c>
      <c r="L60" s="25">
        <f>'[1]ADMIN_KK PROBIS'!$H60</f>
        <v>10</v>
      </c>
      <c r="M60" s="25">
        <f t="shared" si="17"/>
        <v>100</v>
      </c>
    </row>
    <row r="61" spans="1:13" x14ac:dyDescent="0.25">
      <c r="A61" s="17">
        <v>36</v>
      </c>
      <c r="B61" s="53" t="s">
        <v>239</v>
      </c>
      <c r="C61" s="37"/>
      <c r="D61" s="37"/>
      <c r="E61" s="18"/>
      <c r="F61" s="20"/>
      <c r="G61" s="54"/>
      <c r="H61" s="22"/>
      <c r="I61" s="23"/>
      <c r="J61" s="24"/>
      <c r="L61" s="25"/>
      <c r="M61" s="25"/>
    </row>
    <row r="62" spans="1:13" ht="189.75" customHeight="1" x14ac:dyDescent="0.25">
      <c r="A62" s="17"/>
      <c r="B62" s="18" t="s">
        <v>240</v>
      </c>
      <c r="C62" s="18" t="s">
        <v>241</v>
      </c>
      <c r="D62" s="18" t="s">
        <v>242</v>
      </c>
      <c r="E62" s="18" t="s">
        <v>231</v>
      </c>
      <c r="F62" s="31" t="s">
        <v>232</v>
      </c>
      <c r="G62" s="35" t="s">
        <v>243</v>
      </c>
      <c r="H62" s="22">
        <v>10</v>
      </c>
      <c r="I62" s="23">
        <f t="shared" ref="I62:I63" si="18">IF(H62="N/A","N/A",IF(H62=10,100,IF(H62=7,70,IF(H62=5,50,IF(H62=8,80,IF(H62=0,0,""))))))</f>
        <v>100</v>
      </c>
      <c r="J62" s="24" t="str">
        <f>'[1]ADMIN_KK PROBIS'!$J62</f>
        <v>Kegiatan telah dilaksanakan pada periode Triwulan I dan II 2026. Bukti dukung memadai.</v>
      </c>
      <c r="L62" s="25">
        <f>'[1]ADMIN_KK PROBIS'!$H62</f>
        <v>10</v>
      </c>
      <c r="M62" s="25">
        <f t="shared" ref="M62:M63" si="19">IF(L62="N/A","N/A",IF(L62=10,100,IF(L62=7,70,IF(L62=5,50,IF(L62=8,80,IF(L62=0,0,""))))))</f>
        <v>100</v>
      </c>
    </row>
    <row r="63" spans="1:13" ht="154.9" customHeight="1" x14ac:dyDescent="0.25">
      <c r="A63" s="17"/>
      <c r="B63" s="18" t="s">
        <v>244</v>
      </c>
      <c r="C63" s="18" t="s">
        <v>245</v>
      </c>
      <c r="D63" s="18" t="s">
        <v>246</v>
      </c>
      <c r="E63" s="18" t="s">
        <v>247</v>
      </c>
      <c r="F63" s="20" t="s">
        <v>248</v>
      </c>
      <c r="G63" s="26" t="s">
        <v>249</v>
      </c>
      <c r="H63" s="22">
        <v>10</v>
      </c>
      <c r="I63" s="23">
        <f t="shared" si="18"/>
        <v>100</v>
      </c>
      <c r="J63" s="24" t="str">
        <f>'[1]ADMIN_KK PROBIS'!$J63</f>
        <v>Penilaian sd periode triwulan I 2026. Seluruh tiket pada HaiCSO telah dijawab secara tepat waktu.</v>
      </c>
      <c r="L63" s="25">
        <f>'[1]ADMIN_KK PROBIS'!$H63</f>
        <v>10</v>
      </c>
      <c r="M63" s="25">
        <f t="shared" si="19"/>
        <v>100</v>
      </c>
    </row>
    <row r="64" spans="1:13" x14ac:dyDescent="0.25">
      <c r="A64" s="12" t="s">
        <v>250</v>
      </c>
      <c r="B64" s="12"/>
      <c r="C64" s="12"/>
      <c r="D64" s="12"/>
      <c r="E64" s="12"/>
      <c r="F64" s="49"/>
      <c r="G64" s="55"/>
      <c r="H64" s="51"/>
      <c r="I64" s="27"/>
      <c r="J64" s="28"/>
      <c r="L64" s="29"/>
      <c r="M64" s="29"/>
    </row>
    <row r="65" spans="1:103" ht="230.45" customHeight="1" x14ac:dyDescent="0.25">
      <c r="A65" s="17">
        <v>37</v>
      </c>
      <c r="B65" s="18" t="s">
        <v>251</v>
      </c>
      <c r="C65" s="18" t="s">
        <v>252</v>
      </c>
      <c r="D65" s="18" t="s">
        <v>253</v>
      </c>
      <c r="E65" s="18" t="s">
        <v>254</v>
      </c>
      <c r="F65" s="20" t="s">
        <v>255</v>
      </c>
      <c r="G65" s="34" t="s">
        <v>256</v>
      </c>
      <c r="H65" s="22">
        <v>10</v>
      </c>
      <c r="I65" s="23">
        <f t="shared" ref="I65:I66" si="20">IF(H65="N/A","N/A",IF(H65=10,100,IF(H65=7,70,IF(H65=5,50,IF(H65=8,80,IF(H65=0,0,""))))))</f>
        <v>100</v>
      </c>
      <c r="J65" s="24" t="str">
        <f>'[1]ADMIN_KK PROBIS'!$J65</f>
        <v>Sesuai bukti dukung</v>
      </c>
      <c r="L65" s="25">
        <f>'[1]ADMIN_KK PROBIS'!$H65</f>
        <v>10</v>
      </c>
      <c r="M65" s="25">
        <f t="shared" ref="M65:M66" si="21">IF(L65="N/A","N/A",IF(L65=10,100,IF(L65=7,70,IF(L65=5,50,IF(L65=8,80,IF(L65=0,0,""))))))</f>
        <v>100</v>
      </c>
    </row>
    <row r="66" spans="1:103" ht="240" x14ac:dyDescent="0.25">
      <c r="A66" s="17">
        <v>38</v>
      </c>
      <c r="B66" s="18" t="s">
        <v>257</v>
      </c>
      <c r="C66" s="18" t="s">
        <v>258</v>
      </c>
      <c r="D66" s="18" t="s">
        <v>259</v>
      </c>
      <c r="E66" s="18" t="s">
        <v>254</v>
      </c>
      <c r="F66" s="20" t="s">
        <v>260</v>
      </c>
      <c r="G66" s="35" t="s">
        <v>261</v>
      </c>
      <c r="H66" s="22">
        <v>10</v>
      </c>
      <c r="I66" s="23">
        <f t="shared" si="20"/>
        <v>100</v>
      </c>
      <c r="J66" s="24" t="str">
        <f>'[1]ADMIN_KK PROBIS'!$J66</f>
        <v>Telah dilaksanakan monev sesuai ketentuan.</v>
      </c>
      <c r="L66" s="25">
        <f>'[1]ADMIN_KK PROBIS'!$H66</f>
        <v>10</v>
      </c>
      <c r="M66" s="25">
        <f t="shared" si="21"/>
        <v>100</v>
      </c>
    </row>
    <row r="67" spans="1:103" x14ac:dyDescent="0.25">
      <c r="A67" s="12" t="s">
        <v>262</v>
      </c>
      <c r="B67" s="12"/>
      <c r="C67" s="12"/>
      <c r="D67" s="12"/>
      <c r="E67" s="12"/>
      <c r="F67" s="49"/>
      <c r="G67" s="56"/>
      <c r="H67" s="51"/>
      <c r="I67" s="27"/>
      <c r="J67" s="28"/>
      <c r="L67" s="29"/>
      <c r="M67" s="29"/>
    </row>
    <row r="68" spans="1:103" x14ac:dyDescent="0.25">
      <c r="A68" s="12" t="s">
        <v>263</v>
      </c>
      <c r="B68" s="12"/>
      <c r="C68" s="12"/>
      <c r="D68" s="12"/>
      <c r="E68" s="12"/>
      <c r="F68" s="49"/>
      <c r="G68" s="55"/>
      <c r="H68" s="51"/>
      <c r="I68" s="27"/>
      <c r="J68" s="28"/>
      <c r="L68" s="29"/>
      <c r="M68" s="29"/>
    </row>
    <row r="69" spans="1:103" ht="264" customHeight="1" x14ac:dyDescent="0.25">
      <c r="A69" s="17">
        <v>39</v>
      </c>
      <c r="B69" s="18" t="s">
        <v>264</v>
      </c>
      <c r="C69" s="18" t="s">
        <v>265</v>
      </c>
      <c r="D69" s="18" t="s">
        <v>266</v>
      </c>
      <c r="E69" s="18" t="s">
        <v>254</v>
      </c>
      <c r="F69" s="31" t="s">
        <v>232</v>
      </c>
      <c r="G69" s="34" t="s">
        <v>267</v>
      </c>
      <c r="H69" s="22">
        <v>10</v>
      </c>
      <c r="I69" s="23">
        <f t="shared" ref="I69:I70" si="22">IF(H69="N/A","N/A",IF(H69=10,100,IF(H69=7,70,IF(H69=5,50,IF(H69=8,80,IF(H69=0,0,""))))))</f>
        <v>100</v>
      </c>
      <c r="J69" s="24" t="str">
        <f>'[1]ADMIN_KK PROBIS'!$J69</f>
        <v>Kegiatan telah dilaksanakan pada periode Triwulan I dan II 2026. Bukti dukung memadai.</v>
      </c>
      <c r="L69" s="25">
        <f>'[1]ADMIN_KK PROBIS'!$H69</f>
        <v>10</v>
      </c>
      <c r="M69" s="25">
        <f t="shared" ref="M69:M70" si="23">IF(L69="N/A","N/A",IF(L69=10,100,IF(L69=7,70,IF(L69=5,50,IF(L69=8,80,IF(L69=0,0,""))))))</f>
        <v>100</v>
      </c>
    </row>
    <row r="70" spans="1:103" ht="233.25" customHeight="1" x14ac:dyDescent="0.25">
      <c r="A70" s="17">
        <v>40</v>
      </c>
      <c r="B70" s="18" t="s">
        <v>268</v>
      </c>
      <c r="C70" s="18" t="s">
        <v>269</v>
      </c>
      <c r="D70" s="18" t="s">
        <v>270</v>
      </c>
      <c r="E70" s="18" t="s">
        <v>254</v>
      </c>
      <c r="F70" s="20" t="s">
        <v>271</v>
      </c>
      <c r="G70" s="30" t="s">
        <v>272</v>
      </c>
      <c r="H70" s="22">
        <v>10</v>
      </c>
      <c r="I70" s="23">
        <f t="shared" si="22"/>
        <v>100</v>
      </c>
      <c r="J70" s="24" t="str">
        <f>'[1]ADMIN_KK PROBIS'!$J70</f>
        <v>Kegiatan telah dilaksanakan pada periode Triwulan I dan II 2026. Bukti dukung memadai.</v>
      </c>
      <c r="L70" s="25">
        <f>'[1]ADMIN_KK PROBIS'!$H70</f>
        <v>10</v>
      </c>
      <c r="M70" s="25">
        <f t="shared" si="23"/>
        <v>100</v>
      </c>
    </row>
    <row r="71" spans="1:103" ht="228.75" customHeight="1" x14ac:dyDescent="0.25">
      <c r="A71" s="17">
        <v>41</v>
      </c>
      <c r="B71" s="53" t="s">
        <v>239</v>
      </c>
      <c r="C71" s="18" t="s">
        <v>273</v>
      </c>
      <c r="D71" s="18" t="s">
        <v>274</v>
      </c>
      <c r="E71" s="18" t="s">
        <v>254</v>
      </c>
      <c r="F71" s="31" t="s">
        <v>232</v>
      </c>
      <c r="G71" s="21" t="s">
        <v>275</v>
      </c>
      <c r="H71" s="22">
        <v>10</v>
      </c>
      <c r="I71" s="23">
        <f>IF(H71="N/A","N/A",IF(H71=10,100,IF(H71=7,70,IF(H71=5,50,IF(H71=8,80,IF(H71=0,0,""))))))</f>
        <v>100</v>
      </c>
      <c r="J71" s="24" t="str">
        <f>'[1]ADMIN_KK PROBIS'!$J71</f>
        <v>KPPN telah melakukan upaya/ tindak lanjut atas permasalahan pemda dan telah disertai bukti dukung yang memadai.</v>
      </c>
      <c r="L71" s="25">
        <f>'[1]ADMIN_KK PROBIS'!$H71</f>
        <v>10</v>
      </c>
      <c r="M71" s="25">
        <f>IF(L71="N/A","N/A",IF(L71=10,100,IF(L71=7,70,IF(L71=5,50,IF(L71=8,80,IF(L71=0,0,""))))))</f>
        <v>100</v>
      </c>
    </row>
    <row r="72" spans="1:103" x14ac:dyDescent="0.25">
      <c r="A72" s="12" t="s">
        <v>276</v>
      </c>
      <c r="B72" s="12"/>
      <c r="C72" s="12"/>
      <c r="D72" s="12"/>
      <c r="E72" s="12"/>
      <c r="F72" s="49"/>
      <c r="G72" s="52"/>
      <c r="H72" s="51"/>
      <c r="I72" s="27"/>
      <c r="J72" s="28"/>
      <c r="L72" s="29"/>
      <c r="M72" s="29"/>
    </row>
    <row r="73" spans="1:103" ht="201" customHeight="1" x14ac:dyDescent="0.25">
      <c r="A73" s="17">
        <v>42</v>
      </c>
      <c r="B73" s="18" t="s">
        <v>277</v>
      </c>
      <c r="C73" s="18" t="s">
        <v>278</v>
      </c>
      <c r="D73" s="18" t="s">
        <v>279</v>
      </c>
      <c r="E73" s="18" t="s">
        <v>280</v>
      </c>
      <c r="F73" s="20" t="s">
        <v>281</v>
      </c>
      <c r="G73" s="30" t="s">
        <v>282</v>
      </c>
      <c r="H73" s="22">
        <v>10</v>
      </c>
      <c r="I73" s="23">
        <f t="shared" ref="I73:I74" si="24">IF(H73="N/A","N/A",IF(H73=10,100,IF(H73=7,70,IF(H73=5,50,IF(H73=8,80,IF(H73=0,0,""))))))</f>
        <v>100</v>
      </c>
      <c r="J73" s="24" t="str">
        <f>'[1]ADMIN_KK PROBIS'!$J73</f>
        <v>Sudah dilampirkan kertas kerja monitoring Local Government Advisory Triwulan I dan II 2026.</v>
      </c>
      <c r="L73" s="25">
        <f>'[1]ADMIN_KK PROBIS'!$H73</f>
        <v>10</v>
      </c>
      <c r="M73" s="25">
        <f t="shared" ref="M73:M74" si="25">IF(L73="N/A","N/A",IF(L73=10,100,IF(L73=7,70,IF(L73=5,50,IF(L73=8,80,IF(L73=0,0,""))))))</f>
        <v>100</v>
      </c>
    </row>
    <row r="74" spans="1:103" ht="240.75" customHeight="1" x14ac:dyDescent="0.25">
      <c r="A74" s="17">
        <v>43</v>
      </c>
      <c r="B74" s="18" t="s">
        <v>283</v>
      </c>
      <c r="C74" s="18" t="s">
        <v>284</v>
      </c>
      <c r="D74" s="18" t="s">
        <v>285</v>
      </c>
      <c r="E74" s="18" t="s">
        <v>286</v>
      </c>
      <c r="F74" s="20" t="s">
        <v>287</v>
      </c>
      <c r="G74" s="21" t="s">
        <v>288</v>
      </c>
      <c r="H74" s="22">
        <v>10</v>
      </c>
      <c r="I74" s="23">
        <f t="shared" si="24"/>
        <v>100</v>
      </c>
      <c r="J74" s="24" t="str">
        <f>'[1]ADMIN_KK PROBIS'!$J74</f>
        <v>Telah dilaksanakan tindak lanjut atas hasil monev terkait local government advisory</v>
      </c>
      <c r="L74" s="25">
        <f>'[1]ADMIN_KK PROBIS'!$H74</f>
        <v>10</v>
      </c>
      <c r="M74" s="25">
        <f t="shared" si="25"/>
        <v>100</v>
      </c>
    </row>
    <row r="75" spans="1:103" x14ac:dyDescent="0.25">
      <c r="A75" s="12" t="s">
        <v>289</v>
      </c>
      <c r="B75" s="12"/>
      <c r="C75" s="12"/>
      <c r="D75" s="12"/>
      <c r="E75" s="12"/>
      <c r="F75" s="49"/>
      <c r="G75" s="56"/>
      <c r="H75" s="51"/>
      <c r="I75" s="27"/>
      <c r="J75" s="28"/>
      <c r="L75" s="29"/>
      <c r="M75" s="29"/>
    </row>
    <row r="76" spans="1:103" x14ac:dyDescent="0.25">
      <c r="A76" s="12" t="s">
        <v>263</v>
      </c>
      <c r="B76" s="12"/>
      <c r="C76" s="12"/>
      <c r="D76" s="12"/>
      <c r="E76" s="12"/>
      <c r="F76" s="49"/>
      <c r="G76" s="55"/>
      <c r="H76" s="51"/>
      <c r="I76" s="27"/>
      <c r="J76" s="28"/>
      <c r="L76" s="29"/>
      <c r="M76" s="29"/>
    </row>
    <row r="77" spans="1:103" ht="274.5" customHeight="1" x14ac:dyDescent="0.25">
      <c r="A77" s="17">
        <v>44</v>
      </c>
      <c r="B77" s="18" t="s">
        <v>290</v>
      </c>
      <c r="C77" s="18" t="s">
        <v>291</v>
      </c>
      <c r="D77" s="18" t="s">
        <v>292</v>
      </c>
      <c r="E77" s="18" t="s">
        <v>293</v>
      </c>
      <c r="F77" s="31" t="s">
        <v>294</v>
      </c>
      <c r="G77" s="30" t="s">
        <v>295</v>
      </c>
      <c r="H77" s="22">
        <v>10</v>
      </c>
      <c r="I77" s="23">
        <f t="shared" ref="I77:I78" si="26">IF(H77="N/A","N/A",IF(H77=10,100,IF(H77=7,70,IF(H77=5,50,IF(H77=8,80,IF(H77=0,0,""))))))</f>
        <v>100</v>
      </c>
      <c r="J77" s="24" t="str">
        <f>'[1]ADMIN_KK PROBIS'!$J77</f>
        <v>Sesuai bukti dukung</v>
      </c>
      <c r="L77" s="25">
        <f>'[1]ADMIN_KK PROBIS'!$H77</f>
        <v>10</v>
      </c>
      <c r="M77" s="25">
        <f t="shared" ref="M77:M78" si="27">IF(L77="N/A","N/A",IF(L77=10,100,IF(L77=7,70,IF(L77=5,50,IF(L77=8,80,IF(L77=0,0,""))))))</f>
        <v>100</v>
      </c>
    </row>
    <row r="78" spans="1:103" ht="215.25" customHeight="1" x14ac:dyDescent="0.25">
      <c r="A78" s="17">
        <v>45</v>
      </c>
      <c r="B78" s="18" t="s">
        <v>268</v>
      </c>
      <c r="C78" s="18" t="s">
        <v>296</v>
      </c>
      <c r="D78" s="18" t="s">
        <v>297</v>
      </c>
      <c r="E78" s="18" t="s">
        <v>298</v>
      </c>
      <c r="F78" s="20" t="s">
        <v>271</v>
      </c>
      <c r="G78" s="21" t="s">
        <v>299</v>
      </c>
      <c r="H78" s="22">
        <v>10</v>
      </c>
      <c r="I78" s="57">
        <f t="shared" si="26"/>
        <v>100</v>
      </c>
      <c r="J78" s="24" t="str">
        <f>'[1]ADMIN_KK PROBIS'!$J78</f>
        <v xml:space="preserve">Sesuai bukti dukung </v>
      </c>
      <c r="L78" s="25">
        <f>'[1]ADMIN_KK PROBIS'!$H78</f>
        <v>10</v>
      </c>
      <c r="M78" s="58">
        <f t="shared" si="27"/>
        <v>100</v>
      </c>
    </row>
    <row r="79" spans="1:103" x14ac:dyDescent="0.25">
      <c r="A79" s="12" t="s">
        <v>276</v>
      </c>
      <c r="B79" s="12"/>
      <c r="C79" s="12"/>
      <c r="D79" s="12"/>
      <c r="E79" s="12"/>
      <c r="F79" s="49"/>
      <c r="G79" s="56"/>
      <c r="H79" s="59"/>
      <c r="I79" s="60"/>
      <c r="J79" s="28"/>
      <c r="K79" s="61"/>
      <c r="L79" s="29"/>
      <c r="M79" s="62"/>
    </row>
    <row r="80" spans="1:103" s="71" customFormat="1" x14ac:dyDescent="0.25">
      <c r="A80" s="37">
        <v>46</v>
      </c>
      <c r="B80" s="63" t="s">
        <v>300</v>
      </c>
      <c r="C80" s="64"/>
      <c r="D80" s="37"/>
      <c r="E80" s="18"/>
      <c r="F80" s="65"/>
      <c r="G80" s="66"/>
      <c r="H80" s="67"/>
      <c r="I80" s="68"/>
      <c r="J80" s="69"/>
      <c r="K80" s="61"/>
      <c r="L80" s="25"/>
      <c r="M80" s="42"/>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s="70"/>
    </row>
    <row r="81" spans="1:13" ht="215.25" customHeight="1" x14ac:dyDescent="0.25">
      <c r="A81" s="72" t="s">
        <v>301</v>
      </c>
      <c r="B81" s="73" t="s">
        <v>302</v>
      </c>
      <c r="C81" s="73" t="s">
        <v>303</v>
      </c>
      <c r="D81" s="73" t="s">
        <v>304</v>
      </c>
      <c r="E81" s="74" t="s">
        <v>254</v>
      </c>
      <c r="F81" s="75" t="s">
        <v>305</v>
      </c>
      <c r="G81" s="21" t="s">
        <v>306</v>
      </c>
      <c r="H81" s="76">
        <v>10</v>
      </c>
      <c r="I81" s="42">
        <f t="shared" ref="I81:I85" si="28">IF(H81="N/A","N/A",IF(H81=10,100,IF(H81=7,70,IF(H81=5,50,IF(H81=8,80,IF(H81=0,0,""))))))</f>
        <v>100</v>
      </c>
      <c r="J81" s="24" t="str">
        <f>'[1]ADMIN_KK PROBIS'!$J81</f>
        <v>Mohon melengkapi Laporan Kegiatan/ notula kegiatan monev keuangan BLU Triwulan II 2026</v>
      </c>
      <c r="L81" s="25">
        <f>'[1]ADMIN_KK PROBIS'!$H81</f>
        <v>10</v>
      </c>
      <c r="M81" s="42">
        <f t="shared" ref="M81:M85" si="29">IF(L81="N/A","N/A",IF(L81=10,100,IF(L81=7,70,IF(L81=5,50,IF(L81=8,80,IF(L81=0,0,""))))))</f>
        <v>100</v>
      </c>
    </row>
    <row r="82" spans="1:13" ht="213.75" customHeight="1" x14ac:dyDescent="0.25">
      <c r="A82" s="17" t="s">
        <v>307</v>
      </c>
      <c r="B82" s="18" t="s">
        <v>308</v>
      </c>
      <c r="C82" s="18" t="s">
        <v>309</v>
      </c>
      <c r="D82" s="18" t="s">
        <v>310</v>
      </c>
      <c r="E82" s="18" t="s">
        <v>311</v>
      </c>
      <c r="F82" s="74" t="s">
        <v>312</v>
      </c>
      <c r="G82" s="26" t="s">
        <v>313</v>
      </c>
      <c r="H82" s="77">
        <v>10</v>
      </c>
      <c r="I82" s="78">
        <f t="shared" si="28"/>
        <v>100</v>
      </c>
      <c r="J82" s="79" t="str">
        <f>'[1]ADMIN_KK PROBIS'!$J82</f>
        <v>Sesuai bukti dukung</v>
      </c>
      <c r="L82" s="25">
        <f>'[1]ADMIN_KK PROBIS'!$H82</f>
        <v>10</v>
      </c>
      <c r="M82" s="42">
        <f t="shared" si="29"/>
        <v>100</v>
      </c>
    </row>
    <row r="83" spans="1:13" ht="186" customHeight="1" x14ac:dyDescent="0.25">
      <c r="A83" s="17" t="s">
        <v>314</v>
      </c>
      <c r="B83" s="18" t="s">
        <v>315</v>
      </c>
      <c r="C83" s="18" t="s">
        <v>316</v>
      </c>
      <c r="D83" s="18" t="s">
        <v>317</v>
      </c>
      <c r="E83" s="18" t="s">
        <v>318</v>
      </c>
      <c r="F83" s="20" t="s">
        <v>319</v>
      </c>
      <c r="G83" s="26" t="s">
        <v>320</v>
      </c>
      <c r="H83" s="22">
        <v>10</v>
      </c>
      <c r="I83" s="23">
        <f t="shared" si="28"/>
        <v>100</v>
      </c>
      <c r="J83" s="24" t="str">
        <f>'[1]ADMIN_KK PROBIS'!$J83</f>
        <v>KPPN telah memperoleh dan mengumpulkan data LK BUMD lebih dari 90%.</v>
      </c>
      <c r="L83" s="25">
        <f>'[1]ADMIN_KK PROBIS'!$H83</f>
        <v>10</v>
      </c>
      <c r="M83" s="42">
        <f t="shared" si="29"/>
        <v>100</v>
      </c>
    </row>
    <row r="84" spans="1:13" ht="216" customHeight="1" x14ac:dyDescent="0.25">
      <c r="A84" s="17" t="s">
        <v>321</v>
      </c>
      <c r="B84" s="18" t="s">
        <v>322</v>
      </c>
      <c r="C84" s="18" t="s">
        <v>323</v>
      </c>
      <c r="D84" s="18" t="s">
        <v>324</v>
      </c>
      <c r="E84" s="18" t="s">
        <v>325</v>
      </c>
      <c r="F84" s="20" t="s">
        <v>326</v>
      </c>
      <c r="G84" s="21" t="s">
        <v>327</v>
      </c>
      <c r="H84" s="22" t="s">
        <v>328</v>
      </c>
      <c r="I84" s="23" t="str">
        <f t="shared" si="28"/>
        <v>N/A</v>
      </c>
      <c r="J84" s="24" t="str">
        <f>'[1]ADMIN_KK PROBIS'!$J84</f>
        <v>Sehubungan dengan Manual IKU, pelaksanaan translasi kertas kerja dilaksanakan pada periode Triwulan III</v>
      </c>
      <c r="L84" s="25" t="str">
        <f>'[1]ADMIN_KK PROBIS'!$H84</f>
        <v>N/A</v>
      </c>
      <c r="M84" s="42" t="str">
        <f t="shared" si="29"/>
        <v>N/A</v>
      </c>
    </row>
    <row r="85" spans="1:13" ht="192" customHeight="1" x14ac:dyDescent="0.25">
      <c r="A85" s="17">
        <v>47</v>
      </c>
      <c r="B85" s="18" t="s">
        <v>329</v>
      </c>
      <c r="C85" s="18" t="s">
        <v>330</v>
      </c>
      <c r="D85" s="18" t="s">
        <v>331</v>
      </c>
      <c r="E85" s="18" t="s">
        <v>332</v>
      </c>
      <c r="F85" s="20" t="s">
        <v>333</v>
      </c>
      <c r="G85" s="35" t="s">
        <v>334</v>
      </c>
      <c r="H85" s="22">
        <v>10</v>
      </c>
      <c r="I85" s="23">
        <f t="shared" si="28"/>
        <v>100</v>
      </c>
      <c r="J85" s="24" t="str">
        <f>'[1]ADMIN_KK PROBIS'!$J85</f>
        <v xml:space="preserve">Sesuai bukti dukung
</v>
      </c>
      <c r="L85" s="25">
        <f>'[1]ADMIN_KK PROBIS'!$H85</f>
        <v>10</v>
      </c>
      <c r="M85" s="42">
        <f t="shared" si="29"/>
        <v>100</v>
      </c>
    </row>
    <row r="86" spans="1:13" x14ac:dyDescent="0.25">
      <c r="A86" s="17"/>
      <c r="B86" s="18"/>
      <c r="C86" s="37"/>
      <c r="D86" s="37"/>
      <c r="E86" s="18"/>
      <c r="F86" s="20"/>
      <c r="G86" s="38"/>
      <c r="H86" s="22"/>
      <c r="I86" s="23"/>
      <c r="J86" s="24"/>
      <c r="L86" s="25"/>
      <c r="M86" s="42"/>
    </row>
    <row r="87" spans="1:13" x14ac:dyDescent="0.25">
      <c r="A87" s="12" t="s">
        <v>335</v>
      </c>
      <c r="B87" s="12"/>
      <c r="C87" s="12"/>
      <c r="D87" s="12"/>
      <c r="E87" s="12"/>
      <c r="F87" s="12"/>
      <c r="G87" s="12"/>
      <c r="H87" s="12"/>
      <c r="I87" s="27"/>
      <c r="J87" s="28"/>
      <c r="L87" s="29"/>
      <c r="M87" s="62"/>
    </row>
    <row r="88" spans="1:13" x14ac:dyDescent="0.25">
      <c r="A88" s="12" t="s">
        <v>336</v>
      </c>
      <c r="B88" s="12"/>
      <c r="C88" s="12"/>
      <c r="D88" s="12"/>
      <c r="E88" s="12"/>
      <c r="F88" s="12"/>
      <c r="G88" s="12"/>
      <c r="H88" s="12"/>
      <c r="I88" s="27"/>
      <c r="J88" s="28"/>
      <c r="L88" s="29"/>
      <c r="M88" s="62"/>
    </row>
    <row r="89" spans="1:13" ht="150" x14ac:dyDescent="0.25">
      <c r="A89" s="17">
        <v>48</v>
      </c>
      <c r="B89" s="18" t="s">
        <v>337</v>
      </c>
      <c r="C89" s="18" t="s">
        <v>338</v>
      </c>
      <c r="D89" s="18" t="s">
        <v>339</v>
      </c>
      <c r="E89" s="18" t="s">
        <v>340</v>
      </c>
      <c r="F89" s="31" t="s">
        <v>341</v>
      </c>
      <c r="G89" s="21" t="s">
        <v>342</v>
      </c>
      <c r="H89" s="22">
        <v>10</v>
      </c>
      <c r="I89" s="23">
        <f t="shared" ref="I89:I92" si="30">IF(H89="N/A","N/A",IF(H89=10,100,IF(H89=7,70,IF(H89=5,50,IF(H89=8,80,IF(H89=0,0,""))))))</f>
        <v>100</v>
      </c>
      <c r="J89" s="24" t="str">
        <f>'[1]ADMIN_KK PROBIS'!$J89</f>
        <v>Mohon melampirkan dokumen NKO periode Triwulan I 2026</v>
      </c>
      <c r="L89" s="25">
        <f>'[1]ADMIN_KK PROBIS'!$H89</f>
        <v>10</v>
      </c>
      <c r="M89" s="42">
        <f t="shared" ref="M89:M92" si="31">IF(L89="N/A","N/A",IF(L89=10,100,IF(L89=7,70,IF(L89=5,50,IF(L89=8,80,IF(L89=0,0,""))))))</f>
        <v>100</v>
      </c>
    </row>
    <row r="90" spans="1:13" ht="182.45" customHeight="1" x14ac:dyDescent="0.25">
      <c r="A90" s="17">
        <v>49</v>
      </c>
      <c r="B90" s="18" t="s">
        <v>343</v>
      </c>
      <c r="C90" s="18" t="s">
        <v>344</v>
      </c>
      <c r="D90" s="18" t="s">
        <v>345</v>
      </c>
      <c r="E90" s="18" t="s">
        <v>346</v>
      </c>
      <c r="F90" s="31" t="s">
        <v>347</v>
      </c>
      <c r="G90" s="21" t="s">
        <v>348</v>
      </c>
      <c r="H90" s="22">
        <v>10</v>
      </c>
      <c r="I90" s="23">
        <f t="shared" si="30"/>
        <v>100</v>
      </c>
      <c r="J90" s="24" t="str">
        <f>'[1]ADMIN_KK PROBIS'!$J90</f>
        <v>Mohon melampirkan screenshot/ rekapitulasi monitoring pengunggahan dokumen pada aplikasi Intense periode Triwulan I 2026</v>
      </c>
      <c r="L90" s="25">
        <f>'[1]ADMIN_KK PROBIS'!$H90</f>
        <v>10</v>
      </c>
      <c r="M90" s="42">
        <f t="shared" si="31"/>
        <v>100</v>
      </c>
    </row>
    <row r="91" spans="1:13" ht="173.25" customHeight="1" x14ac:dyDescent="0.25">
      <c r="A91" s="17">
        <v>50</v>
      </c>
      <c r="B91" s="18" t="s">
        <v>349</v>
      </c>
      <c r="C91" s="18" t="s">
        <v>350</v>
      </c>
      <c r="D91" s="18" t="s">
        <v>351</v>
      </c>
      <c r="E91" s="18" t="s">
        <v>352</v>
      </c>
      <c r="F91" s="31" t="s">
        <v>353</v>
      </c>
      <c r="G91" s="21" t="s">
        <v>354</v>
      </c>
      <c r="H91" s="22">
        <v>10</v>
      </c>
      <c r="I91" s="23">
        <f t="shared" si="30"/>
        <v>100</v>
      </c>
      <c r="J91" s="24" t="str">
        <f>'[1]ADMIN_KK PROBIS'!$J91</f>
        <v>s.d. periode Maret 2026, DKRO telah dilaksanakan secara bulanan. Agar dapat diupdate data pelaksanaan DKRO s.d. periode Mei 2026.</v>
      </c>
      <c r="L91" s="25">
        <f>'[1]ADMIN_KK PROBIS'!$H91</f>
        <v>10</v>
      </c>
      <c r="M91" s="80">
        <f t="shared" si="31"/>
        <v>100</v>
      </c>
    </row>
    <row r="92" spans="1:13" ht="276" customHeight="1" x14ac:dyDescent="0.25">
      <c r="A92" s="17">
        <v>51</v>
      </c>
      <c r="B92" s="18" t="s">
        <v>355</v>
      </c>
      <c r="C92" s="18" t="s">
        <v>356</v>
      </c>
      <c r="D92" s="18" t="s">
        <v>357</v>
      </c>
      <c r="E92" s="19" t="s">
        <v>358</v>
      </c>
      <c r="F92" s="20" t="s">
        <v>359</v>
      </c>
      <c r="G92" s="21" t="s">
        <v>360</v>
      </c>
      <c r="H92" s="22">
        <v>10</v>
      </c>
      <c r="I92" s="23">
        <f t="shared" si="30"/>
        <v>100</v>
      </c>
      <c r="J92" s="24" t="str">
        <f>'[1]ADMIN_KK PROBIS'!$J92</f>
        <v>Bukti dukung sudah memadai berupa : Pedoman Mutu ISO 9001:2015, Konteks Organisasi 2026 dan Kebijakan Mutu</v>
      </c>
      <c r="L92" s="25">
        <f>'[1]ADMIN_KK PROBIS'!$H92</f>
        <v>10</v>
      </c>
      <c r="M92" s="25">
        <f t="shared" si="31"/>
        <v>100</v>
      </c>
    </row>
    <row r="93" spans="1:13" ht="244.5" customHeight="1" x14ac:dyDescent="0.25">
      <c r="A93" s="17">
        <v>52</v>
      </c>
      <c r="B93" s="18" t="s">
        <v>361</v>
      </c>
      <c r="C93" s="18" t="s">
        <v>362</v>
      </c>
      <c r="D93" s="18" t="s">
        <v>363</v>
      </c>
      <c r="E93" s="19"/>
      <c r="F93" s="31" t="s">
        <v>364</v>
      </c>
      <c r="G93" s="21" t="s">
        <v>365</v>
      </c>
      <c r="H93" s="22">
        <v>10</v>
      </c>
      <c r="I93" s="23">
        <f>IF(H93="N/A","N/A",IF(H93=10,100,IF(H93=7,70,IF(H93=5,50,IF(H93=8,80,IF(H93=0,0,""))))))</f>
        <v>100</v>
      </c>
      <c r="J93" s="24" t="str">
        <f>'[1]ADMIN_KK PROBIS'!$J93</f>
        <v>Pengujian kepatuhan telah dilaksanakan minimal 1x setahun. Bukti dukung memadai.</v>
      </c>
      <c r="L93" s="25">
        <f>'[1]ADMIN_KK PROBIS'!$H93</f>
        <v>10</v>
      </c>
      <c r="M93" s="25">
        <f>IF(L93="N/A","N/A",IF(L93=10,100,IF(L93=7,70,IF(L93=5,50,IF(L93=8,80,IF(L93=0,0,""))))))</f>
        <v>100</v>
      </c>
    </row>
    <row r="94" spans="1:13" ht="187.5" customHeight="1" x14ac:dyDescent="0.25">
      <c r="A94" s="17">
        <v>53</v>
      </c>
      <c r="B94" s="18" t="s">
        <v>366</v>
      </c>
      <c r="C94" s="18" t="s">
        <v>367</v>
      </c>
      <c r="D94" s="18" t="s">
        <v>368</v>
      </c>
      <c r="E94" s="18" t="s">
        <v>369</v>
      </c>
      <c r="F94" s="31" t="s">
        <v>370</v>
      </c>
      <c r="G94" s="21" t="s">
        <v>371</v>
      </c>
      <c r="H94" s="22">
        <v>10</v>
      </c>
      <c r="I94" s="23">
        <f t="shared" ref="I94:I95" si="32">IF(H94="N/A","N/A",IF(H94=10,100,IF(H94=7,70,IF(H94=5,50,IF(H94=8,80,IF(H94=0,0,""))))))</f>
        <v>100</v>
      </c>
      <c r="J94" s="24" t="str">
        <f>'[1]ADMIN_KK PROBIS'!$J94</f>
        <v>Laporan ABK disampaikan tanggal 6 April 2026</v>
      </c>
      <c r="L94" s="25">
        <f>'[1]ADMIN_KK PROBIS'!$H94</f>
        <v>10</v>
      </c>
      <c r="M94" s="25">
        <f t="shared" ref="M94:M95" si="33">IF(L94="N/A","N/A",IF(L94=10,100,IF(L94=7,70,IF(L94=5,50,IF(L94=8,80,IF(L94=0,0,""))))))</f>
        <v>100</v>
      </c>
    </row>
    <row r="95" spans="1:13" ht="170.25" customHeight="1" x14ac:dyDescent="0.25">
      <c r="A95" s="17">
        <v>54</v>
      </c>
      <c r="B95" s="18" t="s">
        <v>372</v>
      </c>
      <c r="C95" s="18" t="s">
        <v>373</v>
      </c>
      <c r="D95" s="18" t="s">
        <v>374</v>
      </c>
      <c r="E95" s="18" t="s">
        <v>375</v>
      </c>
      <c r="F95" s="20" t="s">
        <v>376</v>
      </c>
      <c r="G95" s="35" t="s">
        <v>377</v>
      </c>
      <c r="H95" s="22">
        <v>10</v>
      </c>
      <c r="I95" s="23">
        <f t="shared" si="32"/>
        <v>100</v>
      </c>
      <c r="J95" s="24" t="str">
        <f>'[1]ADMIN_KK PROBIS'!$J95</f>
        <v>Rata-rata nilai semester I :85</v>
      </c>
      <c r="L95" s="25">
        <f>'[1]ADMIN_KK PROBIS'!$H95</f>
        <v>5</v>
      </c>
      <c r="M95" s="25">
        <f t="shared" si="33"/>
        <v>50</v>
      </c>
    </row>
    <row r="96" spans="1:13" x14ac:dyDescent="0.25">
      <c r="A96" s="12" t="s">
        <v>378</v>
      </c>
      <c r="B96" s="12"/>
      <c r="C96" s="12"/>
      <c r="D96" s="12"/>
      <c r="E96" s="12"/>
      <c r="F96" s="12"/>
      <c r="G96" s="12"/>
      <c r="H96" s="12"/>
      <c r="I96" s="27"/>
      <c r="J96" s="28"/>
      <c r="L96" s="29"/>
      <c r="M96" s="29"/>
    </row>
    <row r="97" spans="1:13" ht="364.5" customHeight="1" x14ac:dyDescent="0.25">
      <c r="A97" s="17">
        <v>55</v>
      </c>
      <c r="B97" s="18" t="s">
        <v>379</v>
      </c>
      <c r="C97" s="18" t="s">
        <v>380</v>
      </c>
      <c r="D97" s="18" t="s">
        <v>381</v>
      </c>
      <c r="E97" s="18" t="s">
        <v>382</v>
      </c>
      <c r="F97" s="20" t="s">
        <v>383</v>
      </c>
      <c r="G97" s="21" t="s">
        <v>384</v>
      </c>
      <c r="H97" s="22">
        <v>10</v>
      </c>
      <c r="I97" s="23">
        <f t="shared" ref="I97:I99" si="34">IF(H97="N/A","N/A",IF(H97=10,100,IF(H97=7,70,IF(H97=5,50,IF(H97=8,80,IF(H97=0,0,""))))))</f>
        <v>100</v>
      </c>
      <c r="J97" s="24" t="str">
        <f>'[1]ADMIN_KK PROBIS'!$J97</f>
        <v>Tidak ditemukan kesalahan prosedur dalam pelaksanaan layanan kepegawaian dan diselesaikan dengan tepat waktu</v>
      </c>
      <c r="L97" s="25">
        <f>'[1]ADMIN_KK PROBIS'!$H97</f>
        <v>10</v>
      </c>
      <c r="M97" s="25">
        <f t="shared" ref="M97:M99" si="35">IF(L97="N/A","N/A",IF(L97=10,100,IF(L97=7,70,IF(L97=5,50,IF(L97=8,80,IF(L97=0,0,""))))))</f>
        <v>100</v>
      </c>
    </row>
    <row r="98" spans="1:13" ht="258.75" customHeight="1" x14ac:dyDescent="0.25">
      <c r="A98" s="17">
        <v>56</v>
      </c>
      <c r="B98" s="18" t="s">
        <v>385</v>
      </c>
      <c r="C98" s="18" t="s">
        <v>386</v>
      </c>
      <c r="D98" s="18" t="s">
        <v>387</v>
      </c>
      <c r="E98" s="18" t="s">
        <v>388</v>
      </c>
      <c r="F98" s="31" t="s">
        <v>389</v>
      </c>
      <c r="G98" s="30" t="s">
        <v>390</v>
      </c>
      <c r="H98" s="22">
        <v>10</v>
      </c>
      <c r="I98" s="23">
        <f t="shared" si="34"/>
        <v>100</v>
      </c>
      <c r="J98" s="24" t="str">
        <f>'[1]ADMIN_KK PROBIS'!$J98</f>
        <v xml:space="preserve">Sesuai bukti dukung, tingkat kelengkapan dokumen dalam aplikasi kepegawaian atas seluruh pegawai lebih dari 80% telah diisi lengkap </v>
      </c>
      <c r="L98" s="25">
        <f>'[1]ADMIN_KK PROBIS'!$H98</f>
        <v>10</v>
      </c>
      <c r="M98" s="25">
        <f t="shared" si="35"/>
        <v>100</v>
      </c>
    </row>
    <row r="99" spans="1:13" ht="186.75" customHeight="1" x14ac:dyDescent="0.25">
      <c r="A99" s="17">
        <v>57</v>
      </c>
      <c r="B99" s="18" t="s">
        <v>391</v>
      </c>
      <c r="C99" s="18" t="s">
        <v>392</v>
      </c>
      <c r="D99" s="18" t="s">
        <v>393</v>
      </c>
      <c r="E99" s="18" t="s">
        <v>394</v>
      </c>
      <c r="F99" s="31" t="s">
        <v>395</v>
      </c>
      <c r="G99" s="21" t="s">
        <v>396</v>
      </c>
      <c r="H99" s="22">
        <v>10</v>
      </c>
      <c r="I99" s="23">
        <f t="shared" si="34"/>
        <v>100</v>
      </c>
      <c r="J99" s="24" t="str">
        <f>'[1]ADMIN_KK PROBIS'!$J99</f>
        <v>Terdapat 19 pegawai dari 21 pegawai yang memenuhi standar kompetensi minimal sesuai jabatan (capaian 90,48%).</v>
      </c>
      <c r="L99" s="25">
        <f>'[1]ADMIN_KK PROBIS'!$H99</f>
        <v>10</v>
      </c>
      <c r="M99" s="25">
        <f t="shared" si="35"/>
        <v>100</v>
      </c>
    </row>
    <row r="100" spans="1:13" x14ac:dyDescent="0.25">
      <c r="A100" s="12" t="s">
        <v>397</v>
      </c>
      <c r="B100" s="12"/>
      <c r="C100" s="12"/>
      <c r="D100" s="12"/>
      <c r="E100" s="12"/>
      <c r="F100" s="12"/>
      <c r="G100" s="43"/>
      <c r="H100" s="12"/>
      <c r="I100" s="27"/>
      <c r="J100" s="28"/>
      <c r="L100" s="29"/>
      <c r="M100" s="29"/>
    </row>
    <row r="101" spans="1:13" ht="165" x14ac:dyDescent="0.25">
      <c r="A101" s="17">
        <v>58</v>
      </c>
      <c r="B101" s="18" t="s">
        <v>398</v>
      </c>
      <c r="C101" s="18" t="s">
        <v>399</v>
      </c>
      <c r="D101" s="18" t="s">
        <v>400</v>
      </c>
      <c r="E101" s="18" t="s">
        <v>401</v>
      </c>
      <c r="F101" s="20" t="s">
        <v>402</v>
      </c>
      <c r="G101" s="21" t="s">
        <v>403</v>
      </c>
      <c r="H101" s="22">
        <v>10</v>
      </c>
      <c r="I101" s="23">
        <f t="shared" ref="I101:I103" si="36">IF(H101="N/A","N/A",IF(H101=10,100,IF(H101=7,70,IF(H101=5,50,IF(H101=8,80,IF(H101=0,0,""))))))</f>
        <v>100</v>
      </c>
      <c r="J101" s="24" t="str">
        <f>'[1]ADMIN_KK PROBIS'!$J101</f>
        <v>s.d. periode April 2026 SMART DJA telah diisi setiap bulan, agar data dapat dilengkapi sd periode Mei 2026.</v>
      </c>
      <c r="L101" s="25">
        <f>'[1]ADMIN_KK PROBIS'!$H101</f>
        <v>10</v>
      </c>
      <c r="M101" s="25">
        <f t="shared" ref="M101:M103" si="37">IF(L101="N/A","N/A",IF(L101=10,100,IF(L101=7,70,IF(L101=5,50,IF(L101=8,80,IF(L101=0,0,""))))))</f>
        <v>100</v>
      </c>
    </row>
    <row r="102" spans="1:13" ht="165" x14ac:dyDescent="0.25">
      <c r="A102" s="17">
        <v>59</v>
      </c>
      <c r="B102" s="18" t="s">
        <v>404</v>
      </c>
      <c r="C102" s="18" t="s">
        <v>405</v>
      </c>
      <c r="D102" s="18" t="s">
        <v>406</v>
      </c>
      <c r="E102" s="18" t="s">
        <v>407</v>
      </c>
      <c r="F102" s="20" t="s">
        <v>408</v>
      </c>
      <c r="G102" s="32" t="s">
        <v>409</v>
      </c>
      <c r="H102" s="22">
        <v>10</v>
      </c>
      <c r="I102" s="23">
        <f t="shared" si="36"/>
        <v>100</v>
      </c>
      <c r="J102" s="24" t="str">
        <f>'[1]ADMIN_KK PROBIS'!$J102</f>
        <v>s.d. periode Maret 2026 E-Monev Bappenas telah diisi setiap bulan, agar data dapat dilengkapi sd periode Mei 2026.</v>
      </c>
      <c r="L102" s="25">
        <f>'[1]ADMIN_KK PROBIS'!$H102</f>
        <v>10</v>
      </c>
      <c r="M102" s="25">
        <f t="shared" si="37"/>
        <v>100</v>
      </c>
    </row>
    <row r="103" spans="1:13" ht="165" x14ac:dyDescent="0.25">
      <c r="A103" s="17">
        <v>60</v>
      </c>
      <c r="B103" s="18" t="s">
        <v>410</v>
      </c>
      <c r="C103" s="18" t="s">
        <v>411</v>
      </c>
      <c r="D103" s="18" t="s">
        <v>412</v>
      </c>
      <c r="E103" s="18" t="s">
        <v>413</v>
      </c>
      <c r="F103" s="20" t="s">
        <v>414</v>
      </c>
      <c r="G103" s="26" t="s">
        <v>415</v>
      </c>
      <c r="H103" s="22">
        <v>10</v>
      </c>
      <c r="I103" s="23">
        <f t="shared" si="36"/>
        <v>100</v>
      </c>
      <c r="J103" s="24" t="str">
        <f>'[1]ADMIN_KK PROBIS'!$J103</f>
        <v>a. Mohon melengkapi dokumen UM dengan SPM, daftar hadir. 
b. Mohon melengkapi dokumen UL dengan SPM, SPKL , dan SPTPL.</v>
      </c>
      <c r="L103" s="25">
        <f>'[1]ADMIN_KK PROBIS'!$H103</f>
        <v>10</v>
      </c>
      <c r="M103" s="25">
        <f t="shared" si="37"/>
        <v>100</v>
      </c>
    </row>
    <row r="104" spans="1:13" ht="165" x14ac:dyDescent="0.25">
      <c r="A104" s="17">
        <v>61</v>
      </c>
      <c r="B104" s="18" t="s">
        <v>416</v>
      </c>
      <c r="C104" s="18" t="s">
        <v>417</v>
      </c>
      <c r="D104" s="18" t="s">
        <v>418</v>
      </c>
      <c r="E104" s="18" t="s">
        <v>419</v>
      </c>
      <c r="F104" s="31" t="s">
        <v>420</v>
      </c>
      <c r="G104" s="21" t="s">
        <v>421</v>
      </c>
      <c r="H104" s="22">
        <v>10</v>
      </c>
      <c r="I104" s="23">
        <f>IF(H104="N/A","N/A",IF(H104=10,100,IF(H104=7,70,IF(H104=5,50,IF(H104=8,80,IF(H104=0,0,""))))))</f>
        <v>100</v>
      </c>
      <c r="J104" s="24" t="str">
        <f>'[1]ADMIN_KK PROBIS'!$J104</f>
        <v>Sesuai bukti dukung, pembayaran belanja barang dan/atau modal dilakukan sesuai ketentuan dan didukung dokumen lengkap.</v>
      </c>
      <c r="L104" s="25">
        <f>'[1]ADMIN_KK PROBIS'!$H104</f>
        <v>10</v>
      </c>
      <c r="M104" s="25">
        <f>IF(L104="N/A","N/A",IF(L104=10,100,IF(L104=7,70,IF(L104=5,50,IF(L104=8,80,IF(L104=0,0,""))))))</f>
        <v>100</v>
      </c>
    </row>
    <row r="105" spans="1:13" x14ac:dyDescent="0.25">
      <c r="A105" s="12" t="s">
        <v>422</v>
      </c>
      <c r="B105" s="12"/>
      <c r="C105" s="12"/>
      <c r="D105" s="12"/>
      <c r="E105" s="12"/>
      <c r="F105" s="12"/>
      <c r="G105" s="12"/>
      <c r="H105" s="12"/>
      <c r="I105" s="27"/>
      <c r="J105" s="28"/>
      <c r="L105" s="29"/>
      <c r="M105" s="29"/>
    </row>
    <row r="106" spans="1:13" ht="150" x14ac:dyDescent="0.25">
      <c r="A106" s="17">
        <v>62</v>
      </c>
      <c r="B106" s="18" t="s">
        <v>423</v>
      </c>
      <c r="C106" s="18" t="s">
        <v>424</v>
      </c>
      <c r="D106" s="18" t="s">
        <v>425</v>
      </c>
      <c r="E106" s="18" t="s">
        <v>426</v>
      </c>
      <c r="F106" s="31" t="s">
        <v>427</v>
      </c>
      <c r="G106" s="21" t="s">
        <v>428</v>
      </c>
      <c r="H106" s="22">
        <v>10</v>
      </c>
      <c r="I106" s="23">
        <f t="shared" ref="I106:I110" si="38">IF(H106="N/A","N/A",IF(H106=10,100,IF(H106=7,70,IF(H106=5,50,IF(H106=8,80,IF(H106=0,0,""))))))</f>
        <v>100</v>
      </c>
      <c r="J106" s="24" t="str">
        <f>'[1]ADMIN_KK PROBIS'!$J106</f>
        <v>Apabila tidak terdapat kontrak pengadaan barang/ jasa pada periode berkenaan, agar melampirkan dokumen SPK PPNPN.</v>
      </c>
      <c r="L106" s="25">
        <f>'[1]ADMIN_KK PROBIS'!$H106</f>
        <v>10</v>
      </c>
      <c r="M106" s="25">
        <f t="shared" ref="M106:M110" si="39">IF(L106="N/A","N/A",IF(L106=10,100,IF(L106=7,70,IF(L106=5,50,IF(L106=8,80,IF(L106=0,0,""))))))</f>
        <v>100</v>
      </c>
    </row>
    <row r="107" spans="1:13" ht="184.5" customHeight="1" x14ac:dyDescent="0.25">
      <c r="A107" s="17">
        <v>63</v>
      </c>
      <c r="B107" s="18" t="s">
        <v>429</v>
      </c>
      <c r="C107" s="18" t="s">
        <v>430</v>
      </c>
      <c r="D107" s="18" t="s">
        <v>431</v>
      </c>
      <c r="E107" s="18" t="s">
        <v>432</v>
      </c>
      <c r="F107" s="31" t="s">
        <v>433</v>
      </c>
      <c r="G107" s="21" t="s">
        <v>434</v>
      </c>
      <c r="H107" s="22">
        <v>10</v>
      </c>
      <c r="I107" s="23">
        <f t="shared" si="38"/>
        <v>100</v>
      </c>
      <c r="J107" s="24" t="str">
        <f>'[1]ADMIN_KK PROBIS'!$J107</f>
        <v>Sesuai bukti dukung, 80–100% dokumen pencairan anggaran telah diarsipkan secara digital (cetakan aplikasi dan/atau hasil pemindaian).
Mohon menambahkan lampiran berupa daftar inventaris arsip elektronik KPPN.</v>
      </c>
      <c r="L107" s="25">
        <f>'[1]ADMIN_KK PROBIS'!$H107</f>
        <v>10</v>
      </c>
      <c r="M107" s="25">
        <f t="shared" si="39"/>
        <v>100</v>
      </c>
    </row>
    <row r="108" spans="1:13" ht="180" x14ac:dyDescent="0.25">
      <c r="A108" s="17">
        <v>64</v>
      </c>
      <c r="B108" s="18" t="s">
        <v>435</v>
      </c>
      <c r="C108" s="18" t="s">
        <v>436</v>
      </c>
      <c r="D108" s="18" t="s">
        <v>437</v>
      </c>
      <c r="E108" s="18" t="s">
        <v>438</v>
      </c>
      <c r="F108" s="20" t="s">
        <v>439</v>
      </c>
      <c r="G108" s="21" t="s">
        <v>440</v>
      </c>
      <c r="H108" s="22">
        <v>10</v>
      </c>
      <c r="I108" s="23">
        <f t="shared" si="38"/>
        <v>100</v>
      </c>
      <c r="J108" s="24" t="str">
        <f>'[1]ADMIN_KK PROBIS'!$J108</f>
        <v>Sesuai bukti dukung, 80–100%  kegiatan pengamanan dan pemeliharaan BMN telah dilaksanakan sesuai pedoman.</v>
      </c>
      <c r="L108" s="25">
        <f>'[1]ADMIN_KK PROBIS'!$H108</f>
        <v>10</v>
      </c>
      <c r="M108" s="25">
        <f t="shared" si="39"/>
        <v>100</v>
      </c>
    </row>
    <row r="109" spans="1:13" ht="258.75" customHeight="1" x14ac:dyDescent="0.25">
      <c r="A109" s="17">
        <v>65</v>
      </c>
      <c r="B109" s="18" t="s">
        <v>441</v>
      </c>
      <c r="C109" s="18" t="s">
        <v>442</v>
      </c>
      <c r="D109" s="18" t="s">
        <v>443</v>
      </c>
      <c r="E109" s="18" t="s">
        <v>444</v>
      </c>
      <c r="F109" s="20" t="s">
        <v>445</v>
      </c>
      <c r="G109" s="32" t="s">
        <v>446</v>
      </c>
      <c r="H109" s="22">
        <v>10</v>
      </c>
      <c r="I109" s="23">
        <f t="shared" si="38"/>
        <v>100</v>
      </c>
      <c r="J109" s="24" t="str">
        <f>'[1]ADMIN_KK PROBIS'!$J109</f>
        <v>Rata-rata skor kertas kerja peralatan : 93,76
Rata-rata skor kertas kerja kendaraan : 89,17
Bobot kesesuaian standar : 91,47
Mohon melampirkan file excel kertas kerja dan laporan barang audited 2025.</v>
      </c>
      <c r="L109" s="25">
        <f>'[1]ADMIN_KK PROBIS'!$H109</f>
        <v>10</v>
      </c>
      <c r="M109" s="25">
        <f t="shared" si="39"/>
        <v>100</v>
      </c>
    </row>
    <row r="110" spans="1:13" ht="237.75" customHeight="1" x14ac:dyDescent="0.25">
      <c r="A110" s="17">
        <v>66</v>
      </c>
      <c r="B110" s="18" t="s">
        <v>447</v>
      </c>
      <c r="C110" s="18" t="s">
        <v>448</v>
      </c>
      <c r="D110" s="18" t="s">
        <v>449</v>
      </c>
      <c r="E110" s="18" t="s">
        <v>450</v>
      </c>
      <c r="F110" s="20" t="s">
        <v>451</v>
      </c>
      <c r="G110" s="21" t="s">
        <v>452</v>
      </c>
      <c r="H110" s="22">
        <v>10</v>
      </c>
      <c r="I110" s="23">
        <f t="shared" si="38"/>
        <v>100</v>
      </c>
      <c r="J110" s="24" t="str">
        <f>'[1]ADMIN_KK PROBIS'!$J110</f>
        <v>Total bobot kesesuaian standar : 99,31.</v>
      </c>
      <c r="L110" s="25">
        <f>'[1]ADMIN_KK PROBIS'!$H110</f>
        <v>10</v>
      </c>
      <c r="M110" s="25">
        <f t="shared" si="39"/>
        <v>100</v>
      </c>
    </row>
    <row r="111" spans="1:13" ht="353.25" customHeight="1" x14ac:dyDescent="0.25">
      <c r="A111" s="17">
        <v>67</v>
      </c>
      <c r="B111" s="18" t="s">
        <v>453</v>
      </c>
      <c r="C111" s="18" t="s">
        <v>454</v>
      </c>
      <c r="D111" s="18" t="s">
        <v>455</v>
      </c>
      <c r="E111" s="18" t="s">
        <v>456</v>
      </c>
      <c r="F111" s="20" t="s">
        <v>457</v>
      </c>
      <c r="G111" s="30" t="s">
        <v>458</v>
      </c>
      <c r="H111" s="22">
        <v>10</v>
      </c>
      <c r="I111" s="23">
        <f>IF(H111="N/A","N/A",IF(H111=10,100,IF(H111=7,70,IF(H111=5,50,IF(H111=8,80,IF(H111=0,0,""))))))</f>
        <v>100</v>
      </c>
      <c r="J111" s="24" t="str">
        <f>'[1]ADMIN_KK PROBIS'!$J111</f>
        <v>Sesuai bukti dukung.
Mohon melampirkan file excel kertas kerja dan bukti dukung berupa laporan barang periode Audited 2025.</v>
      </c>
      <c r="L111" s="25">
        <f>'[1]ADMIN_KK PROBIS'!$H111</f>
        <v>10</v>
      </c>
      <c r="M111" s="25">
        <f>IF(L111="N/A","N/A",IF(L111=10,100,IF(L111=7,70,IF(L111=5,50,IF(L111=8,80,IF(L111=0,0,""))))))</f>
        <v>100</v>
      </c>
    </row>
    <row r="112" spans="1:13" ht="216.75" customHeight="1" x14ac:dyDescent="0.25">
      <c r="A112" s="17">
        <v>68</v>
      </c>
      <c r="B112" s="18" t="s">
        <v>459</v>
      </c>
      <c r="C112" s="18" t="s">
        <v>460</v>
      </c>
      <c r="D112" s="18" t="s">
        <v>461</v>
      </c>
      <c r="E112" s="18" t="s">
        <v>444</v>
      </c>
      <c r="F112" s="31" t="s">
        <v>462</v>
      </c>
      <c r="G112" s="21" t="s">
        <v>463</v>
      </c>
      <c r="H112" s="22">
        <v>10</v>
      </c>
      <c r="I112" s="23">
        <f>IF(H112="N/A","N/A",IF(H112=10,100,IF(H112=7,70,IF(H112=5,50,IF(H112=8,80,IF(H112=0,0,""))))))</f>
        <v>100</v>
      </c>
      <c r="J112" s="24" t="str">
        <f>'[1]ADMIN_KK PROBIS'!$J112</f>
        <v>Dokumen pendukung lengkap dan sesuai.</v>
      </c>
      <c r="L112" s="25">
        <f>'[1]ADMIN_KK PROBIS'!$H112</f>
        <v>10</v>
      </c>
      <c r="M112" s="25">
        <f>IF(L112="N/A","N/A",IF(L112=10,100,IF(L112=7,70,IF(L112=5,50,IF(L112=8,80,IF(L112=0,0,""))))))</f>
        <v>100</v>
      </c>
    </row>
    <row r="113" spans="1:13" x14ac:dyDescent="0.25">
      <c r="A113" s="12" t="s">
        <v>464</v>
      </c>
      <c r="B113" s="12"/>
      <c r="C113" s="12"/>
      <c r="D113" s="12"/>
      <c r="E113" s="12"/>
      <c r="F113" s="12"/>
      <c r="G113" s="36"/>
      <c r="H113" s="12"/>
      <c r="I113" s="27"/>
      <c r="J113" s="28"/>
      <c r="L113" s="29"/>
      <c r="M113" s="29"/>
    </row>
    <row r="114" spans="1:13" ht="213.75" customHeight="1" x14ac:dyDescent="0.25">
      <c r="A114" s="17">
        <v>69</v>
      </c>
      <c r="B114" s="18" t="s">
        <v>465</v>
      </c>
      <c r="C114" s="18" t="s">
        <v>466</v>
      </c>
      <c r="D114" s="18" t="s">
        <v>467</v>
      </c>
      <c r="E114" s="18" t="s">
        <v>468</v>
      </c>
      <c r="F114" s="20" t="s">
        <v>469</v>
      </c>
      <c r="G114" s="21" t="s">
        <v>470</v>
      </c>
      <c r="H114" s="22">
        <v>10</v>
      </c>
      <c r="I114" s="23">
        <f>IF(H114="N/A","N/A",IF(H114=10,100,IF(H114=7,70,IF(H114=5,50,IF(H114=8,80,IF(H114=0,0,""))))))</f>
        <v>100</v>
      </c>
      <c r="J114" s="24" t="str">
        <f>'[1]ADMIN_KK PROBIS'!$J114</f>
        <v>a.Sesuai bukti dukung, KPPN telah  melaksanakan identifikasi, pemantauan, dan evaluasi risiko pada tw1 2026
b. Mohon menambahkan lampiran laporan pemantauan risiko Triwulan I 2026.</v>
      </c>
      <c r="L114" s="25">
        <f>'[1]ADMIN_KK PROBIS'!$H114</f>
        <v>10</v>
      </c>
      <c r="M114" s="25">
        <f>IF(L114="N/A","N/A",IF(L114=10,100,IF(L114=7,70,IF(L114=5,50,IF(L114=8,80,IF(L114=0,0,""))))))</f>
        <v>100</v>
      </c>
    </row>
    <row r="115" spans="1:13" ht="261.75" customHeight="1" x14ac:dyDescent="0.25">
      <c r="A115" s="17">
        <v>70</v>
      </c>
      <c r="B115" s="18" t="s">
        <v>471</v>
      </c>
      <c r="C115" s="18" t="s">
        <v>472</v>
      </c>
      <c r="D115" s="18" t="s">
        <v>473</v>
      </c>
      <c r="E115" s="18" t="s">
        <v>474</v>
      </c>
      <c r="F115" s="20" t="s">
        <v>475</v>
      </c>
      <c r="G115" s="21" t="s">
        <v>476</v>
      </c>
      <c r="H115" s="22">
        <v>10</v>
      </c>
      <c r="I115" s="23">
        <f t="shared" ref="I115:I116" si="40">IF(H115="N/A","N/A",IF(H115=10,100,IF(H115=7,70,IF(H115=5,50,IF(H115=8,80,IF(H115=0,0,""))))))</f>
        <v>100</v>
      </c>
      <c r="J115" s="24" t="str">
        <f>'[1]ADMIN_KK PROBIS'!$J115</f>
        <v>Sesuai bukti dukung, tidak ada temuan aparat pemeriksa</v>
      </c>
      <c r="L115" s="25">
        <f>'[1]ADMIN_KK PROBIS'!$H115</f>
        <v>10</v>
      </c>
      <c r="M115" s="25">
        <f t="shared" ref="M115:M116" si="41">IF(L115="N/A","N/A",IF(L115=10,100,IF(L115=7,70,IF(L115=5,50,IF(L115=8,80,IF(L115=0,0,""))))))</f>
        <v>100</v>
      </c>
    </row>
    <row r="116" spans="1:13" ht="247.5" customHeight="1" x14ac:dyDescent="0.25">
      <c r="A116" s="17">
        <v>71</v>
      </c>
      <c r="B116" s="18" t="s">
        <v>477</v>
      </c>
      <c r="C116" s="18" t="s">
        <v>478</v>
      </c>
      <c r="D116" s="18" t="s">
        <v>479</v>
      </c>
      <c r="E116" s="19" t="s">
        <v>480</v>
      </c>
      <c r="F116" s="31" t="s">
        <v>481</v>
      </c>
      <c r="G116" s="21" t="s">
        <v>482</v>
      </c>
      <c r="H116" s="22">
        <v>10</v>
      </c>
      <c r="I116" s="23">
        <f t="shared" si="40"/>
        <v>100</v>
      </c>
      <c r="J116" s="24" t="str">
        <f>'[1]ADMIN_KK PROBIS'!$J116</f>
        <v>Sudah terdapat SK Petugas Pengelola Pengaduan, agar menambahkan lampiran berupa SOP/ mekanisme pengelolaan pengaduan dan laporan pengaduan.</v>
      </c>
      <c r="L116" s="25">
        <f>'[1]ADMIN_KK PROBIS'!$H116</f>
        <v>10</v>
      </c>
      <c r="M116" s="25">
        <f t="shared" si="41"/>
        <v>100</v>
      </c>
    </row>
    <row r="117" spans="1:13" ht="191.25" customHeight="1" x14ac:dyDescent="0.25">
      <c r="A117" s="17">
        <v>72</v>
      </c>
      <c r="B117" s="18" t="s">
        <v>483</v>
      </c>
      <c r="C117" s="18" t="s">
        <v>484</v>
      </c>
      <c r="D117" s="18" t="s">
        <v>485</v>
      </c>
      <c r="E117" s="19"/>
      <c r="F117" s="31" t="s">
        <v>486</v>
      </c>
      <c r="G117" s="21" t="s">
        <v>487</v>
      </c>
      <c r="H117" s="22">
        <v>10</v>
      </c>
      <c r="I117" s="23">
        <f>IF(H117="N/A","N/A",IF(H117=10,100,IF(H117=7,70,IF(H117=5,50,IF(H117=8,80,IF(H117=0,0,""))))))</f>
        <v>100</v>
      </c>
      <c r="J117" s="24" t="str">
        <f>'[1]ADMIN_KK PROBIS'!$J117</f>
        <v>Mohon menambahkan laporan pengaduan bulan April s.d Mei 2026.</v>
      </c>
      <c r="L117" s="25">
        <f>'[1]ADMIN_KK PROBIS'!$H117</f>
        <v>10</v>
      </c>
      <c r="M117" s="25">
        <f>IF(L117="N/A","N/A",IF(L117=10,100,IF(L117=7,70,IF(L117=5,50,IF(L117=8,80,IF(L117=0,0,""))))))</f>
        <v>100</v>
      </c>
    </row>
    <row r="118" spans="1:13" x14ac:dyDescent="0.25">
      <c r="A118" s="12" t="s">
        <v>488</v>
      </c>
      <c r="B118" s="12"/>
      <c r="C118" s="12"/>
      <c r="D118" s="12"/>
      <c r="E118" s="12"/>
      <c r="F118" s="12"/>
      <c r="G118" s="12"/>
      <c r="H118" s="12"/>
      <c r="I118" s="27"/>
      <c r="J118" s="28"/>
      <c r="L118" s="29"/>
      <c r="M118" s="29"/>
    </row>
    <row r="119" spans="1:13" ht="226.5" customHeight="1" x14ac:dyDescent="0.25">
      <c r="A119" s="17">
        <v>73</v>
      </c>
      <c r="B119" s="18" t="s">
        <v>489</v>
      </c>
      <c r="C119" s="18" t="s">
        <v>490</v>
      </c>
      <c r="D119" s="18" t="s">
        <v>491</v>
      </c>
      <c r="E119" s="19" t="s">
        <v>492</v>
      </c>
      <c r="F119" s="31" t="s">
        <v>493</v>
      </c>
      <c r="G119" s="21" t="s">
        <v>494</v>
      </c>
      <c r="H119" s="22">
        <v>10</v>
      </c>
      <c r="I119" s="23">
        <f t="shared" ref="I119:I120" si="42">IF(H119="N/A","N/A",IF(H119=10,100,IF(H119=7,70,IF(H119=5,50,IF(H119=8,80,IF(H119=0,0,""))))))</f>
        <v>100</v>
      </c>
      <c r="J119" s="24" t="str">
        <f>'[1]ADMIN_KK PROBIS'!$J119</f>
        <v>Mohon melampirkan tangkapan layar pembaruan konten bulan April s.d Juni pada instagram dan website.</v>
      </c>
      <c r="L119" s="25">
        <f>'[1]ADMIN_KK PROBIS'!$H119</f>
        <v>10</v>
      </c>
      <c r="M119" s="25">
        <f t="shared" ref="M119:M120" si="43">IF(L119="N/A","N/A",IF(L119=10,100,IF(L119=7,70,IF(L119=5,50,IF(L119=8,80,IF(L119=0,0,""))))))</f>
        <v>100</v>
      </c>
    </row>
    <row r="120" spans="1:13" ht="192.75" customHeight="1" x14ac:dyDescent="0.25">
      <c r="A120" s="17">
        <v>74</v>
      </c>
      <c r="B120" s="18" t="s">
        <v>495</v>
      </c>
      <c r="C120" s="18" t="s">
        <v>496</v>
      </c>
      <c r="D120" s="18" t="s">
        <v>497</v>
      </c>
      <c r="E120" s="19"/>
      <c r="F120" s="31" t="s">
        <v>498</v>
      </c>
      <c r="G120" s="21" t="s">
        <v>499</v>
      </c>
      <c r="H120" s="22">
        <v>10</v>
      </c>
      <c r="I120" s="23">
        <f t="shared" si="42"/>
        <v>100</v>
      </c>
      <c r="J120" s="24" t="str">
        <f>'[1]ADMIN_KK PROBIS'!$J120</f>
        <v>Dokumen pendukung lengkap dan sesuai.</v>
      </c>
      <c r="L120" s="25">
        <f>'[1]ADMIN_KK PROBIS'!$H120</f>
        <v>10</v>
      </c>
      <c r="M120" s="25">
        <f t="shared" si="43"/>
        <v>100</v>
      </c>
    </row>
    <row r="121" spans="1:13" ht="272.25" customHeight="1" x14ac:dyDescent="0.25">
      <c r="A121" s="17">
        <v>75</v>
      </c>
      <c r="B121" s="18" t="s">
        <v>500</v>
      </c>
      <c r="C121" s="18" t="s">
        <v>501</v>
      </c>
      <c r="D121" s="18" t="s">
        <v>502</v>
      </c>
      <c r="E121" s="18" t="s">
        <v>503</v>
      </c>
      <c r="F121" s="20" t="s">
        <v>504</v>
      </c>
      <c r="G121" s="21" t="s">
        <v>505</v>
      </c>
      <c r="H121" s="22">
        <v>10</v>
      </c>
      <c r="I121" s="23">
        <f>IF(H121="N/A","N/A",IF(H121=10,100,IF(H121=7,70,IF(H121=5,50,IF(H121=8,80,IF(H121=0,0,""))))))</f>
        <v>100</v>
      </c>
      <c r="J121" s="24" t="str">
        <f>'[1]ADMIN_KK PROBIS'!$J121</f>
        <v>Mohon menambahkan laporan employee advocacy bulan April s.d. Mei 2026.</v>
      </c>
      <c r="L121" s="25">
        <f>'[1]ADMIN_KK PROBIS'!$H121</f>
        <v>10</v>
      </c>
      <c r="M121" s="25">
        <f>IF(L121="N/A","N/A",IF(L121=10,100,IF(L121=7,70,IF(L121=5,50,IF(L121=8,80,IF(L121=0,0,""))))))</f>
        <v>100</v>
      </c>
    </row>
    <row r="122" spans="1:13" x14ac:dyDescent="0.25">
      <c r="A122" s="12" t="s">
        <v>506</v>
      </c>
      <c r="B122" s="12"/>
      <c r="C122" s="12"/>
      <c r="D122" s="12"/>
      <c r="E122" s="12"/>
      <c r="F122" s="12"/>
      <c r="G122" s="12"/>
      <c r="H122" s="12"/>
      <c r="I122" s="27"/>
      <c r="J122" s="28"/>
      <c r="L122" s="29"/>
      <c r="M122" s="29"/>
    </row>
    <row r="123" spans="1:13" ht="216.75" customHeight="1" x14ac:dyDescent="0.25">
      <c r="A123" s="17">
        <v>76</v>
      </c>
      <c r="B123" s="18" t="s">
        <v>507</v>
      </c>
      <c r="C123" s="18" t="s">
        <v>508</v>
      </c>
      <c r="D123" s="18" t="s">
        <v>509</v>
      </c>
      <c r="E123" s="19" t="s">
        <v>510</v>
      </c>
      <c r="F123" s="31" t="s">
        <v>511</v>
      </c>
      <c r="G123" s="21" t="s">
        <v>512</v>
      </c>
      <c r="H123" s="22">
        <v>10</v>
      </c>
      <c r="I123" s="23">
        <f t="shared" ref="I123:I125" si="44">IF(H123="N/A","N/A",IF(H123=10,100,IF(H123=7,70,IF(H123=5,50,IF(H123=8,80,IF(H123=0,0,""))))))</f>
        <v>100</v>
      </c>
      <c r="J123" s="24" t="str">
        <f>'[1]ADMIN_KK PROBIS'!$J123</f>
        <v>Telah terdapat SK Penetapan Inovasi dan profil inovasi pada tahun berjalan, dan  inovasi telah terdaftar pada katalog inovasi satu kemenkeu</v>
      </c>
      <c r="L123" s="25">
        <f>'[1]ADMIN_KK PROBIS'!$H123</f>
        <v>10</v>
      </c>
      <c r="M123" s="25">
        <f t="shared" ref="M123:M126" si="45">IF(L123="N/A","N/A",IF(L123=10,100,IF(L123=7,70,IF(L123=5,50,IF(L123=8,80,IF(L123=0,0,""))))))</f>
        <v>100</v>
      </c>
    </row>
    <row r="124" spans="1:13" ht="201" customHeight="1" x14ac:dyDescent="0.25">
      <c r="A124" s="17">
        <v>77</v>
      </c>
      <c r="B124" s="18" t="s">
        <v>513</v>
      </c>
      <c r="C124" s="18" t="s">
        <v>514</v>
      </c>
      <c r="D124" s="18" t="s">
        <v>515</v>
      </c>
      <c r="E124" s="19"/>
      <c r="F124" s="31" t="s">
        <v>516</v>
      </c>
      <c r="G124" s="21" t="s">
        <v>517</v>
      </c>
      <c r="H124" s="22">
        <v>10</v>
      </c>
      <c r="I124" s="23">
        <f t="shared" si="44"/>
        <v>100</v>
      </c>
      <c r="J124" s="24" t="str">
        <f>'[1]ADMIN_KK PROBIS'!$J124</f>
        <v>Telah dilakukan evaluasi dan pengembangan inovasi atas seluruh inovasi pada KPPN.</v>
      </c>
      <c r="L124" s="25">
        <f>'[1]ADMIN_KK PROBIS'!$H124</f>
        <v>10</v>
      </c>
      <c r="M124" s="25">
        <f t="shared" si="45"/>
        <v>100</v>
      </c>
    </row>
    <row r="125" spans="1:13" ht="225" x14ac:dyDescent="0.25">
      <c r="A125" s="17">
        <v>78</v>
      </c>
      <c r="B125" s="18" t="s">
        <v>518</v>
      </c>
      <c r="C125" s="18" t="s">
        <v>519</v>
      </c>
      <c r="D125" s="18" t="s">
        <v>520</v>
      </c>
      <c r="E125" s="19"/>
      <c r="F125" s="31" t="s">
        <v>521</v>
      </c>
      <c r="G125" s="21" t="s">
        <v>522</v>
      </c>
      <c r="H125" s="22">
        <v>10</v>
      </c>
      <c r="I125" s="23">
        <f t="shared" si="44"/>
        <v>100</v>
      </c>
      <c r="J125" s="24" t="str">
        <f>'[1]ADMIN_KK PROBIS'!$J125</f>
        <v>Mohon menambahkan lampiran berupa dokumentasi sosialisasi/ promosi inovasi kepada pihak lain.</v>
      </c>
      <c r="L125" s="25">
        <f>'[1]ADMIN_KK PROBIS'!$H125</f>
        <v>10</v>
      </c>
      <c r="M125" s="25">
        <f t="shared" si="45"/>
        <v>100</v>
      </c>
    </row>
    <row r="126" spans="1:13" ht="165" x14ac:dyDescent="0.25">
      <c r="A126" s="17">
        <v>79</v>
      </c>
      <c r="B126" s="18" t="s">
        <v>523</v>
      </c>
      <c r="C126" s="18" t="s">
        <v>524</v>
      </c>
      <c r="D126" s="18" t="s">
        <v>525</v>
      </c>
      <c r="E126" s="18" t="s">
        <v>526</v>
      </c>
      <c r="F126" s="31" t="s">
        <v>527</v>
      </c>
      <c r="G126" s="21" t="s">
        <v>528</v>
      </c>
      <c r="H126" s="22">
        <v>10</v>
      </c>
      <c r="I126" s="23">
        <f>IF(H126="N/A","N/A",IF(H126=10,100,IF(H126=7,70,IF(H126=5,50,IF(H126=8,80,IF(H126=0,0,""))))))</f>
        <v>100</v>
      </c>
      <c r="J126" s="24" t="str">
        <f>'[1]ADMIN_KK PROBIS'!$J126</f>
        <v>Sesuai bukti dukung</v>
      </c>
      <c r="L126" s="25">
        <f>'[1]ADMIN_KK PROBIS'!$H126</f>
        <v>10</v>
      </c>
      <c r="M126" s="25">
        <f t="shared" si="45"/>
        <v>100</v>
      </c>
    </row>
    <row r="127" spans="1:13" x14ac:dyDescent="0.25">
      <c r="A127" s="81"/>
      <c r="B127" s="81"/>
      <c r="C127" s="81"/>
      <c r="D127" s="81"/>
      <c r="E127" s="81"/>
      <c r="F127" s="81"/>
      <c r="G127" s="81"/>
      <c r="H127" s="81"/>
      <c r="I127" s="82">
        <f>SUM(I5:I126)</f>
        <v>8200</v>
      </c>
      <c r="J127" s="83"/>
      <c r="L127" s="15"/>
      <c r="M127" s="84">
        <f>SUM(M5:M126)</f>
        <v>8020</v>
      </c>
    </row>
    <row r="128" spans="1:13" ht="18.75" x14ac:dyDescent="0.25">
      <c r="A128" s="85" t="s">
        <v>529</v>
      </c>
      <c r="B128" s="85"/>
      <c r="C128" s="85"/>
      <c r="D128" s="85"/>
      <c r="E128" s="85"/>
      <c r="F128" s="85"/>
      <c r="G128" s="85"/>
      <c r="H128" s="85"/>
      <c r="I128" s="86">
        <f>AVERAGEIF(I5:I126,"&lt;&gt;N/A")</f>
        <v>100</v>
      </c>
      <c r="J128" s="87"/>
      <c r="L128" s="88" t="s">
        <v>530</v>
      </c>
      <c r="M128" s="89">
        <f>AVERAGEIF(M5:M126,"&lt;&gt;N/A")</f>
        <v>97.804878048780495</v>
      </c>
    </row>
    <row r="129" spans="7:7" ht="15" customHeight="1" x14ac:dyDescent="0.25">
      <c r="G129" s="90"/>
    </row>
    <row r="130" spans="7:7" ht="15" customHeight="1" x14ac:dyDescent="0.25">
      <c r="G130" s="90"/>
    </row>
    <row r="131" spans="7:7" ht="15" customHeight="1" x14ac:dyDescent="0.25">
      <c r="G131" s="90"/>
    </row>
    <row r="132" spans="7:7" ht="15" customHeight="1" x14ac:dyDescent="0.25">
      <c r="G132" s="90"/>
    </row>
    <row r="133" spans="7:7" ht="15" customHeight="1" x14ac:dyDescent="0.25">
      <c r="G133" s="90"/>
    </row>
    <row r="134" spans="7:7" ht="15" customHeight="1" x14ac:dyDescent="0.25">
      <c r="G134" s="90"/>
    </row>
    <row r="135" spans="7:7" ht="15" customHeight="1" x14ac:dyDescent="0.25">
      <c r="G135" s="90"/>
    </row>
    <row r="136" spans="7:7" ht="15" customHeight="1" x14ac:dyDescent="0.25">
      <c r="G136" s="90"/>
    </row>
    <row r="137" spans="7:7" ht="15" customHeight="1" x14ac:dyDescent="0.25">
      <c r="G137" s="90"/>
    </row>
    <row r="138" spans="7:7" ht="15" customHeight="1" x14ac:dyDescent="0.25">
      <c r="G138" s="90"/>
    </row>
    <row r="139" spans="7:7" ht="15" customHeight="1" x14ac:dyDescent="0.25">
      <c r="G139" s="90"/>
    </row>
    <row r="140" spans="7:7" ht="15" customHeight="1" x14ac:dyDescent="0.25">
      <c r="G140" s="90"/>
    </row>
    <row r="141" spans="7:7" ht="15" customHeight="1" x14ac:dyDescent="0.25">
      <c r="G141" s="90"/>
    </row>
    <row r="142" spans="7:7" ht="15" customHeight="1" x14ac:dyDescent="0.25">
      <c r="G142" s="90"/>
    </row>
    <row r="143" spans="7:7" ht="15" customHeight="1" x14ac:dyDescent="0.25">
      <c r="G143" s="90"/>
    </row>
    <row r="144" spans="7:7" ht="15" customHeight="1" x14ac:dyDescent="0.25">
      <c r="G144" s="90"/>
    </row>
    <row r="145" spans="7:7" ht="15" customHeight="1" x14ac:dyDescent="0.25">
      <c r="G145" s="90"/>
    </row>
    <row r="146" spans="7:7" ht="15" customHeight="1" x14ac:dyDescent="0.25">
      <c r="G146" s="90"/>
    </row>
    <row r="147" spans="7:7" ht="15" customHeight="1" x14ac:dyDescent="0.25">
      <c r="G147" s="90"/>
    </row>
    <row r="148" spans="7:7" ht="15" customHeight="1" x14ac:dyDescent="0.25">
      <c r="G148" s="90"/>
    </row>
    <row r="149" spans="7:7" ht="15" customHeight="1" x14ac:dyDescent="0.25">
      <c r="G149" s="90"/>
    </row>
    <row r="150" spans="7:7" ht="15" customHeight="1" x14ac:dyDescent="0.25">
      <c r="G150" s="90"/>
    </row>
    <row r="151" spans="7:7" ht="15" customHeight="1" x14ac:dyDescent="0.25">
      <c r="G151" s="90"/>
    </row>
    <row r="152" spans="7:7" ht="15" customHeight="1" x14ac:dyDescent="0.25">
      <c r="G152" s="90"/>
    </row>
    <row r="153" spans="7:7" ht="15" customHeight="1" x14ac:dyDescent="0.25">
      <c r="G153" s="90"/>
    </row>
    <row r="154" spans="7:7" ht="15" customHeight="1" x14ac:dyDescent="0.25">
      <c r="G154" s="90"/>
    </row>
    <row r="155" spans="7:7" ht="15" customHeight="1" x14ac:dyDescent="0.25">
      <c r="G155" s="90"/>
    </row>
    <row r="156" spans="7:7" ht="15" customHeight="1" x14ac:dyDescent="0.25">
      <c r="G156" s="90"/>
    </row>
    <row r="157" spans="7:7" ht="15" customHeight="1" x14ac:dyDescent="0.25">
      <c r="G157" s="90"/>
    </row>
    <row r="158" spans="7:7" ht="15" customHeight="1" x14ac:dyDescent="0.25">
      <c r="G158" s="90"/>
    </row>
    <row r="159" spans="7:7" ht="15" customHeight="1" x14ac:dyDescent="0.25">
      <c r="G159" s="90"/>
    </row>
    <row r="160" spans="7:7" ht="15" customHeight="1" x14ac:dyDescent="0.25">
      <c r="G160" s="90"/>
    </row>
    <row r="161" spans="7:7" ht="15" customHeight="1" x14ac:dyDescent="0.25">
      <c r="G161" s="90"/>
    </row>
    <row r="162" spans="7:7" ht="15" customHeight="1" x14ac:dyDescent="0.25">
      <c r="G162" s="90"/>
    </row>
    <row r="163" spans="7:7" ht="15" customHeight="1" x14ac:dyDescent="0.25">
      <c r="G163" s="90"/>
    </row>
    <row r="164" spans="7:7" ht="15" customHeight="1" x14ac:dyDescent="0.25">
      <c r="G164" s="90"/>
    </row>
    <row r="165" spans="7:7" ht="15" customHeight="1" x14ac:dyDescent="0.25">
      <c r="G165" s="90"/>
    </row>
    <row r="166" spans="7:7" ht="15" customHeight="1" x14ac:dyDescent="0.25">
      <c r="G166" s="90"/>
    </row>
    <row r="167" spans="7:7" ht="15" customHeight="1" x14ac:dyDescent="0.25">
      <c r="G167" s="90"/>
    </row>
    <row r="168" spans="7:7" ht="15" customHeight="1" x14ac:dyDescent="0.25">
      <c r="G168" s="90"/>
    </row>
    <row r="169" spans="7:7" ht="15" customHeight="1" x14ac:dyDescent="0.25">
      <c r="G169" s="90"/>
    </row>
    <row r="170" spans="7:7" ht="15" customHeight="1" x14ac:dyDescent="0.25">
      <c r="G170" s="90"/>
    </row>
    <row r="171" spans="7:7" ht="15" customHeight="1" x14ac:dyDescent="0.25">
      <c r="G171" s="90"/>
    </row>
    <row r="172" spans="7:7" ht="15" customHeight="1" x14ac:dyDescent="0.25">
      <c r="G172" s="90"/>
    </row>
    <row r="173" spans="7:7" ht="15" customHeight="1" x14ac:dyDescent="0.25">
      <c r="G173" s="90"/>
    </row>
    <row r="174" spans="7:7" ht="15" customHeight="1" x14ac:dyDescent="0.25">
      <c r="G174" s="90"/>
    </row>
    <row r="175" spans="7:7" ht="15" customHeight="1" x14ac:dyDescent="0.25">
      <c r="G175" s="90"/>
    </row>
    <row r="176" spans="7:7" ht="15" customHeight="1" x14ac:dyDescent="0.25">
      <c r="G176" s="90"/>
    </row>
    <row r="177" spans="7:7" ht="15" customHeight="1" x14ac:dyDescent="0.25">
      <c r="G177" s="90"/>
    </row>
    <row r="178" spans="7:7" ht="15" customHeight="1" x14ac:dyDescent="0.25">
      <c r="G178" s="90"/>
    </row>
    <row r="179" spans="7:7" ht="15" customHeight="1" x14ac:dyDescent="0.25">
      <c r="G179" s="90"/>
    </row>
    <row r="180" spans="7:7" ht="15" customHeight="1" x14ac:dyDescent="0.25">
      <c r="G180" s="90"/>
    </row>
    <row r="181" spans="7:7" ht="15" customHeight="1" x14ac:dyDescent="0.25">
      <c r="G181" s="90"/>
    </row>
    <row r="182" spans="7:7" ht="15" customHeight="1" x14ac:dyDescent="0.25">
      <c r="G182" s="90"/>
    </row>
    <row r="183" spans="7:7" ht="15" customHeight="1" x14ac:dyDescent="0.25">
      <c r="G183" s="90"/>
    </row>
    <row r="184" spans="7:7" ht="15" customHeight="1" x14ac:dyDescent="0.25">
      <c r="G184" s="90"/>
    </row>
    <row r="185" spans="7:7" ht="15" customHeight="1" x14ac:dyDescent="0.25">
      <c r="G185" s="90"/>
    </row>
    <row r="186" spans="7:7" ht="15" customHeight="1" x14ac:dyDescent="0.25">
      <c r="G186" s="90"/>
    </row>
    <row r="187" spans="7:7" ht="15" customHeight="1" x14ac:dyDescent="0.25">
      <c r="G187" s="90"/>
    </row>
    <row r="188" spans="7:7" ht="15" customHeight="1" x14ac:dyDescent="0.25">
      <c r="G188" s="90"/>
    </row>
    <row r="189" spans="7:7" ht="15" customHeight="1" x14ac:dyDescent="0.25">
      <c r="G189" s="90"/>
    </row>
    <row r="190" spans="7:7" ht="15" customHeight="1" x14ac:dyDescent="0.25">
      <c r="G190" s="90"/>
    </row>
    <row r="191" spans="7:7" ht="15" customHeight="1" x14ac:dyDescent="0.25">
      <c r="G191" s="90"/>
    </row>
    <row r="192" spans="7:7" ht="15" customHeight="1" x14ac:dyDescent="0.25">
      <c r="G192" s="90"/>
    </row>
    <row r="193" spans="7:7" ht="15" customHeight="1" x14ac:dyDescent="0.25">
      <c r="G193" s="90"/>
    </row>
    <row r="194" spans="7:7" ht="15" customHeight="1" x14ac:dyDescent="0.25">
      <c r="G194" s="90"/>
    </row>
    <row r="195" spans="7:7" ht="15" customHeight="1" x14ac:dyDescent="0.25">
      <c r="G195" s="90"/>
    </row>
    <row r="196" spans="7:7" ht="15" customHeight="1" x14ac:dyDescent="0.25">
      <c r="G196" s="90"/>
    </row>
    <row r="197" spans="7:7" ht="15" customHeight="1" x14ac:dyDescent="0.25">
      <c r="G197" s="90"/>
    </row>
    <row r="198" spans="7:7" ht="15" customHeight="1" x14ac:dyDescent="0.25">
      <c r="G198" s="90"/>
    </row>
    <row r="199" spans="7:7" ht="15" customHeight="1" x14ac:dyDescent="0.25">
      <c r="G199" s="90"/>
    </row>
    <row r="200" spans="7:7" ht="15" customHeight="1" x14ac:dyDescent="0.25">
      <c r="G200" s="90"/>
    </row>
    <row r="201" spans="7:7" ht="15" customHeight="1" x14ac:dyDescent="0.25">
      <c r="G201" s="90"/>
    </row>
    <row r="202" spans="7:7" ht="15" customHeight="1" x14ac:dyDescent="0.25">
      <c r="G202" s="90"/>
    </row>
    <row r="203" spans="7:7" ht="15" customHeight="1" x14ac:dyDescent="0.25">
      <c r="G203" s="90"/>
    </row>
    <row r="204" spans="7:7" ht="15" customHeight="1" x14ac:dyDescent="0.25">
      <c r="G204" s="90"/>
    </row>
    <row r="205" spans="7:7" ht="15" customHeight="1" x14ac:dyDescent="0.25">
      <c r="G205" s="90"/>
    </row>
    <row r="206" spans="7:7" ht="15" customHeight="1" x14ac:dyDescent="0.25">
      <c r="G206" s="90"/>
    </row>
    <row r="207" spans="7:7" ht="15" customHeight="1" x14ac:dyDescent="0.25">
      <c r="G207" s="90"/>
    </row>
    <row r="208" spans="7:7" ht="15" customHeight="1" x14ac:dyDescent="0.25">
      <c r="G208" s="90"/>
    </row>
    <row r="209" spans="7:7" ht="15" customHeight="1" x14ac:dyDescent="0.25">
      <c r="G209" s="90"/>
    </row>
    <row r="210" spans="7:7" ht="15" customHeight="1" x14ac:dyDescent="0.25">
      <c r="G210" s="90"/>
    </row>
    <row r="211" spans="7:7" ht="15" customHeight="1" x14ac:dyDescent="0.25">
      <c r="G211" s="90"/>
    </row>
    <row r="212" spans="7:7" ht="15" customHeight="1" x14ac:dyDescent="0.25">
      <c r="G212" s="90"/>
    </row>
    <row r="213" spans="7:7" ht="15" customHeight="1" x14ac:dyDescent="0.25">
      <c r="G213" s="90"/>
    </row>
    <row r="214" spans="7:7" ht="15" customHeight="1" x14ac:dyDescent="0.25">
      <c r="G214" s="90"/>
    </row>
    <row r="215" spans="7:7" ht="15" customHeight="1" x14ac:dyDescent="0.25">
      <c r="G215" s="90"/>
    </row>
    <row r="216" spans="7:7" ht="15" customHeight="1" x14ac:dyDescent="0.25">
      <c r="G216" s="90"/>
    </row>
    <row r="217" spans="7:7" ht="15" customHeight="1" x14ac:dyDescent="0.25">
      <c r="G217" s="90"/>
    </row>
    <row r="218" spans="7:7" ht="15" customHeight="1" x14ac:dyDescent="0.25">
      <c r="G218" s="90"/>
    </row>
    <row r="219" spans="7:7" ht="15" customHeight="1" x14ac:dyDescent="0.25">
      <c r="G219" s="90"/>
    </row>
    <row r="220" spans="7:7" ht="15" customHeight="1" x14ac:dyDescent="0.25">
      <c r="G220" s="90"/>
    </row>
    <row r="221" spans="7:7" ht="15" customHeight="1" x14ac:dyDescent="0.25">
      <c r="G221" s="90"/>
    </row>
    <row r="222" spans="7:7" ht="15" customHeight="1" x14ac:dyDescent="0.25">
      <c r="G222" s="90"/>
    </row>
    <row r="223" spans="7:7" ht="15" customHeight="1" x14ac:dyDescent="0.25">
      <c r="G223" s="90"/>
    </row>
    <row r="224" spans="7:7" ht="15" customHeight="1" x14ac:dyDescent="0.25">
      <c r="G224" s="90"/>
    </row>
    <row r="225" spans="7:7" ht="15" customHeight="1" x14ac:dyDescent="0.25">
      <c r="G225" s="90"/>
    </row>
    <row r="226" spans="7:7" ht="15" customHeight="1" x14ac:dyDescent="0.25">
      <c r="G226" s="90"/>
    </row>
    <row r="227" spans="7:7" ht="15" customHeight="1" x14ac:dyDescent="0.25">
      <c r="G227" s="90"/>
    </row>
    <row r="228" spans="7:7" ht="15" customHeight="1" x14ac:dyDescent="0.25">
      <c r="G228" s="90"/>
    </row>
    <row r="229" spans="7:7" ht="15" customHeight="1" x14ac:dyDescent="0.25">
      <c r="G229" s="90"/>
    </row>
    <row r="230" spans="7:7" ht="15" customHeight="1" x14ac:dyDescent="0.25">
      <c r="G230" s="90"/>
    </row>
    <row r="231" spans="7:7" ht="15" customHeight="1" x14ac:dyDescent="0.25">
      <c r="G231" s="90"/>
    </row>
    <row r="232" spans="7:7" ht="15" customHeight="1" x14ac:dyDescent="0.25">
      <c r="G232" s="90"/>
    </row>
    <row r="233" spans="7:7" ht="15" customHeight="1" x14ac:dyDescent="0.25">
      <c r="G233" s="90"/>
    </row>
    <row r="234" spans="7:7" ht="15" customHeight="1" x14ac:dyDescent="0.25">
      <c r="G234" s="90"/>
    </row>
    <row r="235" spans="7:7" ht="15" customHeight="1" x14ac:dyDescent="0.25">
      <c r="G235" s="90"/>
    </row>
    <row r="236" spans="7:7" ht="15" customHeight="1" x14ac:dyDescent="0.25">
      <c r="G236" s="90"/>
    </row>
    <row r="237" spans="7:7" ht="15" customHeight="1" x14ac:dyDescent="0.25">
      <c r="G237" s="90"/>
    </row>
    <row r="238" spans="7:7" ht="15" customHeight="1" x14ac:dyDescent="0.25">
      <c r="G238" s="90"/>
    </row>
    <row r="239" spans="7:7" ht="15" customHeight="1" x14ac:dyDescent="0.25">
      <c r="G239" s="90"/>
    </row>
    <row r="240" spans="7:7" ht="15" customHeight="1" x14ac:dyDescent="0.25">
      <c r="G240" s="90"/>
    </row>
    <row r="241" spans="7:7" ht="15" customHeight="1" x14ac:dyDescent="0.25">
      <c r="G241" s="90"/>
    </row>
    <row r="242" spans="7:7" ht="15" customHeight="1" x14ac:dyDescent="0.25">
      <c r="G242" s="90"/>
    </row>
    <row r="243" spans="7:7" ht="15" customHeight="1" x14ac:dyDescent="0.25">
      <c r="G243" s="90"/>
    </row>
    <row r="244" spans="7:7" ht="15" customHeight="1" x14ac:dyDescent="0.25">
      <c r="G244" s="90"/>
    </row>
    <row r="245" spans="7:7" ht="15" customHeight="1" x14ac:dyDescent="0.25">
      <c r="G245" s="90"/>
    </row>
    <row r="246" spans="7:7" ht="15" customHeight="1" x14ac:dyDescent="0.25">
      <c r="G246" s="90"/>
    </row>
    <row r="247" spans="7:7" ht="15" customHeight="1" x14ac:dyDescent="0.25">
      <c r="G247" s="90"/>
    </row>
    <row r="248" spans="7:7" ht="15" customHeight="1" x14ac:dyDescent="0.25">
      <c r="G248" s="90"/>
    </row>
    <row r="249" spans="7:7" ht="15" customHeight="1" x14ac:dyDescent="0.25">
      <c r="G249" s="90"/>
    </row>
    <row r="250" spans="7:7" ht="15" customHeight="1" x14ac:dyDescent="0.25">
      <c r="G250" s="90"/>
    </row>
    <row r="251" spans="7:7" ht="15" customHeight="1" x14ac:dyDescent="0.25">
      <c r="G251" s="90"/>
    </row>
    <row r="252" spans="7:7" ht="15" customHeight="1" x14ac:dyDescent="0.25">
      <c r="G252" s="90"/>
    </row>
    <row r="253" spans="7:7" ht="15" customHeight="1" x14ac:dyDescent="0.25">
      <c r="G253" s="90"/>
    </row>
    <row r="254" spans="7:7" ht="15" customHeight="1" x14ac:dyDescent="0.25">
      <c r="G254" s="90"/>
    </row>
    <row r="255" spans="7:7" ht="15" customHeight="1" x14ac:dyDescent="0.25">
      <c r="G255" s="90"/>
    </row>
    <row r="256" spans="7:7" ht="15" customHeight="1" x14ac:dyDescent="0.25">
      <c r="G256" s="90"/>
    </row>
    <row r="257" spans="7:7" ht="15" customHeight="1" x14ac:dyDescent="0.25">
      <c r="G257" s="90"/>
    </row>
    <row r="258" spans="7:7" ht="15" customHeight="1" x14ac:dyDescent="0.25">
      <c r="G258" s="90"/>
    </row>
    <row r="259" spans="7:7" ht="15" customHeight="1" x14ac:dyDescent="0.25">
      <c r="G259" s="90"/>
    </row>
    <row r="260" spans="7:7" ht="15" customHeight="1" x14ac:dyDescent="0.25">
      <c r="G260" s="90"/>
    </row>
    <row r="261" spans="7:7" ht="15" customHeight="1" x14ac:dyDescent="0.25">
      <c r="G261" s="90"/>
    </row>
    <row r="262" spans="7:7" ht="15" customHeight="1" x14ac:dyDescent="0.25">
      <c r="G262" s="90"/>
    </row>
    <row r="263" spans="7:7" ht="15" customHeight="1" x14ac:dyDescent="0.25">
      <c r="G263" s="90"/>
    </row>
    <row r="264" spans="7:7" ht="15" customHeight="1" x14ac:dyDescent="0.25">
      <c r="G264" s="90"/>
    </row>
    <row r="265" spans="7:7" ht="15" customHeight="1" x14ac:dyDescent="0.25">
      <c r="G265" s="90"/>
    </row>
    <row r="266" spans="7:7" ht="15" customHeight="1" x14ac:dyDescent="0.25">
      <c r="G266" s="90"/>
    </row>
    <row r="267" spans="7:7" ht="15" customHeight="1" x14ac:dyDescent="0.25">
      <c r="G267" s="90"/>
    </row>
    <row r="268" spans="7:7" ht="15" customHeight="1" x14ac:dyDescent="0.25">
      <c r="G268" s="90"/>
    </row>
    <row r="269" spans="7:7" ht="15" customHeight="1" x14ac:dyDescent="0.25">
      <c r="G269" s="90"/>
    </row>
    <row r="270" spans="7:7" ht="15" customHeight="1" x14ac:dyDescent="0.25">
      <c r="G270" s="90"/>
    </row>
    <row r="271" spans="7:7" ht="15" customHeight="1" x14ac:dyDescent="0.25">
      <c r="G271" s="90"/>
    </row>
    <row r="272" spans="7:7" ht="15" customHeight="1" x14ac:dyDescent="0.25">
      <c r="G272" s="90"/>
    </row>
    <row r="273" spans="7:7" ht="15" customHeight="1" x14ac:dyDescent="0.25">
      <c r="G273" s="90"/>
    </row>
    <row r="274" spans="7:7" ht="15" customHeight="1" x14ac:dyDescent="0.25">
      <c r="G274" s="90"/>
    </row>
    <row r="275" spans="7:7" ht="15" customHeight="1" x14ac:dyDescent="0.25">
      <c r="G275" s="90"/>
    </row>
    <row r="276" spans="7:7" ht="15" customHeight="1" x14ac:dyDescent="0.25">
      <c r="G276" s="90"/>
    </row>
    <row r="277" spans="7:7" ht="15" customHeight="1" x14ac:dyDescent="0.25">
      <c r="G277" s="90"/>
    </row>
    <row r="278" spans="7:7" ht="15" customHeight="1" x14ac:dyDescent="0.25">
      <c r="G278" s="90"/>
    </row>
    <row r="279" spans="7:7" ht="15" customHeight="1" x14ac:dyDescent="0.25">
      <c r="G279" s="90"/>
    </row>
    <row r="280" spans="7:7" ht="15" customHeight="1" x14ac:dyDescent="0.25">
      <c r="G280" s="90"/>
    </row>
    <row r="281" spans="7:7" ht="15" customHeight="1" x14ac:dyDescent="0.25">
      <c r="G281" s="90"/>
    </row>
    <row r="282" spans="7:7" ht="15" customHeight="1" x14ac:dyDescent="0.25">
      <c r="G282" s="90"/>
    </row>
    <row r="283" spans="7:7" ht="15" customHeight="1" x14ac:dyDescent="0.25">
      <c r="G283" s="90"/>
    </row>
    <row r="284" spans="7:7" ht="15" customHeight="1" x14ac:dyDescent="0.25">
      <c r="G284" s="90"/>
    </row>
    <row r="285" spans="7:7" ht="15" customHeight="1" x14ac:dyDescent="0.25">
      <c r="G285" s="90"/>
    </row>
    <row r="286" spans="7:7" ht="15" customHeight="1" x14ac:dyDescent="0.25">
      <c r="G286" s="90"/>
    </row>
    <row r="287" spans="7:7" ht="15" customHeight="1" x14ac:dyDescent="0.25">
      <c r="G287" s="90"/>
    </row>
    <row r="288" spans="7:7" ht="15" customHeight="1" x14ac:dyDescent="0.25">
      <c r="G288" s="90"/>
    </row>
    <row r="289" spans="7:7" ht="15" customHeight="1" x14ac:dyDescent="0.25">
      <c r="G289" s="90"/>
    </row>
    <row r="290" spans="7:7" ht="15" customHeight="1" x14ac:dyDescent="0.25">
      <c r="G290" s="90"/>
    </row>
    <row r="291" spans="7:7" ht="15" customHeight="1" x14ac:dyDescent="0.25">
      <c r="G291" s="90"/>
    </row>
    <row r="292" spans="7:7" ht="15" customHeight="1" x14ac:dyDescent="0.25">
      <c r="G292" s="90"/>
    </row>
    <row r="293" spans="7:7" ht="15" customHeight="1" x14ac:dyDescent="0.25">
      <c r="G293" s="90"/>
    </row>
    <row r="294" spans="7:7" ht="15" customHeight="1" x14ac:dyDescent="0.25">
      <c r="G294" s="90"/>
    </row>
    <row r="295" spans="7:7" ht="15" customHeight="1" x14ac:dyDescent="0.25">
      <c r="G295" s="90"/>
    </row>
    <row r="296" spans="7:7" ht="15" customHeight="1" x14ac:dyDescent="0.25">
      <c r="G296" s="90"/>
    </row>
    <row r="297" spans="7:7" ht="15" customHeight="1" x14ac:dyDescent="0.25">
      <c r="G297" s="90"/>
    </row>
    <row r="298" spans="7:7" ht="15" customHeight="1" x14ac:dyDescent="0.25">
      <c r="G298" s="90"/>
    </row>
    <row r="299" spans="7:7" ht="15" customHeight="1" x14ac:dyDescent="0.25">
      <c r="G299" s="90"/>
    </row>
    <row r="300" spans="7:7" ht="15" customHeight="1" x14ac:dyDescent="0.25">
      <c r="G300" s="90"/>
    </row>
    <row r="301" spans="7:7" ht="15" customHeight="1" x14ac:dyDescent="0.25">
      <c r="G301" s="90"/>
    </row>
    <row r="302" spans="7:7" ht="15" customHeight="1" x14ac:dyDescent="0.25">
      <c r="G302" s="90"/>
    </row>
    <row r="303" spans="7:7" ht="15" customHeight="1" x14ac:dyDescent="0.25">
      <c r="G303" s="90"/>
    </row>
    <row r="304" spans="7:7" ht="15" customHeight="1" x14ac:dyDescent="0.25">
      <c r="G304" s="90"/>
    </row>
    <row r="305" spans="7:7" ht="15" customHeight="1" x14ac:dyDescent="0.25">
      <c r="G305" s="90"/>
    </row>
    <row r="306" spans="7:7" ht="15" customHeight="1" x14ac:dyDescent="0.25">
      <c r="G306" s="90"/>
    </row>
    <row r="307" spans="7:7" ht="15" customHeight="1" x14ac:dyDescent="0.25">
      <c r="G307" s="90"/>
    </row>
    <row r="308" spans="7:7" ht="15" customHeight="1" x14ac:dyDescent="0.25">
      <c r="G308" s="90"/>
    </row>
    <row r="309" spans="7:7" ht="15" customHeight="1" x14ac:dyDescent="0.25">
      <c r="G309" s="90"/>
    </row>
    <row r="310" spans="7:7" ht="15" customHeight="1" x14ac:dyDescent="0.25">
      <c r="G310" s="90"/>
    </row>
    <row r="311" spans="7:7" ht="15" customHeight="1" x14ac:dyDescent="0.25">
      <c r="G311" s="90"/>
    </row>
    <row r="312" spans="7:7" ht="15" customHeight="1" x14ac:dyDescent="0.25">
      <c r="G312" s="90"/>
    </row>
    <row r="313" spans="7:7" ht="15" customHeight="1" x14ac:dyDescent="0.25">
      <c r="G313" s="90"/>
    </row>
    <row r="314" spans="7:7" ht="15" customHeight="1" x14ac:dyDescent="0.25">
      <c r="G314" s="90"/>
    </row>
    <row r="315" spans="7:7" ht="15" customHeight="1" x14ac:dyDescent="0.25">
      <c r="G315" s="90"/>
    </row>
    <row r="316" spans="7:7" ht="15" customHeight="1" x14ac:dyDescent="0.25">
      <c r="G316" s="90"/>
    </row>
    <row r="317" spans="7:7" ht="15" customHeight="1" x14ac:dyDescent="0.25">
      <c r="G317" s="90"/>
    </row>
    <row r="318" spans="7:7" ht="15" customHeight="1" x14ac:dyDescent="0.25">
      <c r="G318" s="90"/>
    </row>
    <row r="319" spans="7:7" ht="15" customHeight="1" x14ac:dyDescent="0.25">
      <c r="G319" s="90"/>
    </row>
    <row r="320" spans="7:7" ht="15" customHeight="1" x14ac:dyDescent="0.25">
      <c r="G320" s="90"/>
    </row>
    <row r="321" spans="7:7" ht="15" customHeight="1" x14ac:dyDescent="0.25">
      <c r="G321" s="90"/>
    </row>
    <row r="322" spans="7:7" ht="15" customHeight="1" x14ac:dyDescent="0.25">
      <c r="G322" s="90"/>
    </row>
    <row r="323" spans="7:7" ht="15" customHeight="1" x14ac:dyDescent="0.25">
      <c r="G323" s="90"/>
    </row>
    <row r="324" spans="7:7" ht="15" customHeight="1" x14ac:dyDescent="0.25">
      <c r="G324" s="90"/>
    </row>
    <row r="325" spans="7:7" ht="15" customHeight="1" x14ac:dyDescent="0.25">
      <c r="G325" s="90"/>
    </row>
    <row r="326" spans="7:7" ht="15" customHeight="1" x14ac:dyDescent="0.25">
      <c r="G326" s="90"/>
    </row>
    <row r="327" spans="7:7" ht="15" customHeight="1" x14ac:dyDescent="0.25">
      <c r="G327" s="90"/>
    </row>
    <row r="328" spans="7:7" ht="15" customHeight="1" x14ac:dyDescent="0.25">
      <c r="G328" s="90"/>
    </row>
    <row r="329" spans="7:7" ht="15" customHeight="1" x14ac:dyDescent="0.25">
      <c r="G329" s="90"/>
    </row>
    <row r="330" spans="7:7" ht="15" customHeight="1" x14ac:dyDescent="0.25">
      <c r="G330" s="90"/>
    </row>
    <row r="331" spans="7:7" ht="15" customHeight="1" x14ac:dyDescent="0.25">
      <c r="G331" s="90"/>
    </row>
    <row r="332" spans="7:7" ht="15" customHeight="1" x14ac:dyDescent="0.25">
      <c r="G332" s="90"/>
    </row>
    <row r="333" spans="7:7" ht="15" customHeight="1" x14ac:dyDescent="0.25">
      <c r="G333" s="90"/>
    </row>
    <row r="334" spans="7:7" ht="15" customHeight="1" x14ac:dyDescent="0.25">
      <c r="G334" s="90"/>
    </row>
    <row r="335" spans="7:7" ht="15" customHeight="1" x14ac:dyDescent="0.25">
      <c r="G335" s="90"/>
    </row>
    <row r="336" spans="7:7" ht="15" customHeight="1" x14ac:dyDescent="0.25">
      <c r="G336" s="90"/>
    </row>
    <row r="337" spans="7:7" ht="15" customHeight="1" x14ac:dyDescent="0.25">
      <c r="G337" s="90"/>
    </row>
    <row r="338" spans="7:7" ht="15" customHeight="1" x14ac:dyDescent="0.25">
      <c r="G338" s="90"/>
    </row>
    <row r="339" spans="7:7" ht="15" customHeight="1" x14ac:dyDescent="0.25">
      <c r="G339" s="90"/>
    </row>
    <row r="340" spans="7:7" ht="15" customHeight="1" x14ac:dyDescent="0.25">
      <c r="G340" s="90"/>
    </row>
    <row r="341" spans="7:7" ht="15" customHeight="1" x14ac:dyDescent="0.25">
      <c r="G341" s="90"/>
    </row>
    <row r="342" spans="7:7" ht="15" customHeight="1" x14ac:dyDescent="0.25">
      <c r="G342" s="90"/>
    </row>
    <row r="343" spans="7:7" ht="15" customHeight="1" x14ac:dyDescent="0.25">
      <c r="G343" s="90"/>
    </row>
    <row r="344" spans="7:7" ht="15" customHeight="1" x14ac:dyDescent="0.25">
      <c r="G344" s="90"/>
    </row>
    <row r="345" spans="7:7" ht="15" customHeight="1" x14ac:dyDescent="0.25">
      <c r="G345" s="90"/>
    </row>
    <row r="346" spans="7:7" ht="15" customHeight="1" x14ac:dyDescent="0.25">
      <c r="G346" s="90"/>
    </row>
    <row r="347" spans="7:7" ht="15" customHeight="1" x14ac:dyDescent="0.25">
      <c r="G347" s="90"/>
    </row>
    <row r="348" spans="7:7" ht="15" customHeight="1" x14ac:dyDescent="0.25">
      <c r="G348" s="90"/>
    </row>
    <row r="349" spans="7:7" ht="15" customHeight="1" x14ac:dyDescent="0.25">
      <c r="G349" s="90"/>
    </row>
    <row r="350" spans="7:7" ht="15" customHeight="1" x14ac:dyDescent="0.25">
      <c r="G350" s="90"/>
    </row>
    <row r="351" spans="7:7" ht="15" customHeight="1" x14ac:dyDescent="0.25">
      <c r="G351" s="90"/>
    </row>
    <row r="352" spans="7:7" ht="15" customHeight="1" x14ac:dyDescent="0.25">
      <c r="G352" s="90"/>
    </row>
    <row r="353" spans="7:7" ht="15" customHeight="1" x14ac:dyDescent="0.25">
      <c r="G353" s="90"/>
    </row>
    <row r="354" spans="7:7" ht="15" customHeight="1" x14ac:dyDescent="0.25">
      <c r="G354" s="90"/>
    </row>
    <row r="355" spans="7:7" ht="15" customHeight="1" x14ac:dyDescent="0.25">
      <c r="G355" s="90"/>
    </row>
    <row r="356" spans="7:7" ht="15" customHeight="1" x14ac:dyDescent="0.25">
      <c r="G356" s="90"/>
    </row>
    <row r="357" spans="7:7" ht="15" customHeight="1" x14ac:dyDescent="0.25">
      <c r="G357" s="90"/>
    </row>
    <row r="358" spans="7:7" ht="15" customHeight="1" x14ac:dyDescent="0.25">
      <c r="G358" s="90"/>
    </row>
    <row r="359" spans="7:7" ht="15" customHeight="1" x14ac:dyDescent="0.25">
      <c r="G359" s="90"/>
    </row>
    <row r="360" spans="7:7" ht="15" customHeight="1" x14ac:dyDescent="0.25">
      <c r="G360" s="90"/>
    </row>
    <row r="361" spans="7:7" ht="15" customHeight="1" x14ac:dyDescent="0.25">
      <c r="G361" s="90"/>
    </row>
    <row r="362" spans="7:7" ht="15" customHeight="1" x14ac:dyDescent="0.25">
      <c r="G362" s="90"/>
    </row>
    <row r="363" spans="7:7" ht="15" customHeight="1" x14ac:dyDescent="0.25">
      <c r="G363" s="90"/>
    </row>
    <row r="364" spans="7:7" ht="15" customHeight="1" x14ac:dyDescent="0.25">
      <c r="G364" s="90"/>
    </row>
    <row r="365" spans="7:7" ht="15" customHeight="1" x14ac:dyDescent="0.25">
      <c r="G365" s="90"/>
    </row>
    <row r="366" spans="7:7" ht="15" customHeight="1" x14ac:dyDescent="0.25">
      <c r="G366" s="90"/>
    </row>
    <row r="367" spans="7:7" ht="15" customHeight="1" x14ac:dyDescent="0.25">
      <c r="G367" s="90"/>
    </row>
    <row r="368" spans="7:7" ht="15" customHeight="1" x14ac:dyDescent="0.25">
      <c r="G368" s="90"/>
    </row>
    <row r="369" spans="7:7" ht="15" customHeight="1" x14ac:dyDescent="0.25">
      <c r="G369" s="90"/>
    </row>
    <row r="370" spans="7:7" ht="15" customHeight="1" x14ac:dyDescent="0.25">
      <c r="G370" s="90"/>
    </row>
    <row r="371" spans="7:7" ht="15" customHeight="1" x14ac:dyDescent="0.25">
      <c r="G371" s="90"/>
    </row>
    <row r="372" spans="7:7" ht="15" customHeight="1" x14ac:dyDescent="0.25">
      <c r="G372" s="90"/>
    </row>
    <row r="373" spans="7:7" ht="15" customHeight="1" x14ac:dyDescent="0.25">
      <c r="G373" s="90"/>
    </row>
    <row r="374" spans="7:7" ht="15" customHeight="1" x14ac:dyDescent="0.25">
      <c r="G374" s="90"/>
    </row>
    <row r="375" spans="7:7" ht="15" customHeight="1" x14ac:dyDescent="0.25">
      <c r="G375" s="90"/>
    </row>
    <row r="376" spans="7:7" ht="15" customHeight="1" x14ac:dyDescent="0.25">
      <c r="G376" s="90"/>
    </row>
    <row r="377" spans="7:7" ht="15" customHeight="1" x14ac:dyDescent="0.25">
      <c r="G377" s="90"/>
    </row>
    <row r="378" spans="7:7" ht="15" customHeight="1" x14ac:dyDescent="0.25">
      <c r="G378" s="90"/>
    </row>
    <row r="379" spans="7:7" ht="15" customHeight="1" x14ac:dyDescent="0.25">
      <c r="G379" s="90"/>
    </row>
    <row r="380" spans="7:7" ht="15" customHeight="1" x14ac:dyDescent="0.25">
      <c r="G380" s="90"/>
    </row>
    <row r="381" spans="7:7" ht="15" customHeight="1" x14ac:dyDescent="0.25">
      <c r="G381" s="90"/>
    </row>
    <row r="382" spans="7:7" ht="15" customHeight="1" x14ac:dyDescent="0.25">
      <c r="G382" s="90"/>
    </row>
    <row r="383" spans="7:7" ht="15" customHeight="1" x14ac:dyDescent="0.25">
      <c r="G383" s="90"/>
    </row>
    <row r="384" spans="7:7" ht="15" customHeight="1" x14ac:dyDescent="0.25">
      <c r="G384" s="90"/>
    </row>
    <row r="385" spans="7:7" ht="15" customHeight="1" x14ac:dyDescent="0.25">
      <c r="G385" s="90"/>
    </row>
    <row r="386" spans="7:7" ht="15" customHeight="1" x14ac:dyDescent="0.25">
      <c r="G386" s="90"/>
    </row>
    <row r="387" spans="7:7" ht="15" customHeight="1" x14ac:dyDescent="0.25">
      <c r="G387" s="90"/>
    </row>
    <row r="388" spans="7:7" ht="15" customHeight="1" x14ac:dyDescent="0.25">
      <c r="G388" s="90"/>
    </row>
    <row r="389" spans="7:7" ht="15" customHeight="1" x14ac:dyDescent="0.25">
      <c r="G389" s="90"/>
    </row>
    <row r="390" spans="7:7" ht="15" customHeight="1" x14ac:dyDescent="0.25">
      <c r="G390" s="90"/>
    </row>
    <row r="391" spans="7:7" ht="15" customHeight="1" x14ac:dyDescent="0.25">
      <c r="G391" s="90"/>
    </row>
    <row r="392" spans="7:7" ht="15" customHeight="1" x14ac:dyDescent="0.25">
      <c r="G392" s="90"/>
    </row>
    <row r="393" spans="7:7" ht="15" customHeight="1" x14ac:dyDescent="0.25">
      <c r="G393" s="90"/>
    </row>
    <row r="394" spans="7:7" ht="15" customHeight="1" x14ac:dyDescent="0.25">
      <c r="G394" s="90"/>
    </row>
    <row r="395" spans="7:7" ht="15" customHeight="1" x14ac:dyDescent="0.25">
      <c r="G395" s="90"/>
    </row>
    <row r="396" spans="7:7" ht="15" customHeight="1" x14ac:dyDescent="0.25">
      <c r="G396" s="90"/>
    </row>
    <row r="397" spans="7:7" ht="15" customHeight="1" x14ac:dyDescent="0.25">
      <c r="G397" s="90"/>
    </row>
    <row r="398" spans="7:7" ht="15" customHeight="1" x14ac:dyDescent="0.25">
      <c r="G398" s="90"/>
    </row>
    <row r="399" spans="7:7" ht="15" customHeight="1" x14ac:dyDescent="0.25">
      <c r="G399" s="90"/>
    </row>
    <row r="400" spans="7:7" ht="15" customHeight="1" x14ac:dyDescent="0.25">
      <c r="G400" s="90"/>
    </row>
    <row r="401" spans="7:7" ht="15" customHeight="1" x14ac:dyDescent="0.25">
      <c r="G401" s="90"/>
    </row>
    <row r="402" spans="7:7" ht="15" customHeight="1" x14ac:dyDescent="0.25">
      <c r="G402" s="90"/>
    </row>
    <row r="403" spans="7:7" ht="15" customHeight="1" x14ac:dyDescent="0.25">
      <c r="G403" s="90"/>
    </row>
    <row r="404" spans="7:7" ht="15" customHeight="1" x14ac:dyDescent="0.25">
      <c r="G404" s="90"/>
    </row>
    <row r="405" spans="7:7" ht="15" customHeight="1" x14ac:dyDescent="0.25">
      <c r="G405" s="90"/>
    </row>
    <row r="406" spans="7:7" ht="15" customHeight="1" x14ac:dyDescent="0.25">
      <c r="G406" s="90"/>
    </row>
    <row r="407" spans="7:7" ht="15" customHeight="1" x14ac:dyDescent="0.25">
      <c r="G407" s="90"/>
    </row>
    <row r="408" spans="7:7" ht="15" customHeight="1" x14ac:dyDescent="0.25">
      <c r="G408" s="90"/>
    </row>
    <row r="409" spans="7:7" ht="15" customHeight="1" x14ac:dyDescent="0.25">
      <c r="G409" s="90"/>
    </row>
    <row r="410" spans="7:7" ht="15" customHeight="1" x14ac:dyDescent="0.25">
      <c r="G410" s="90"/>
    </row>
    <row r="411" spans="7:7" ht="15" customHeight="1" x14ac:dyDescent="0.25">
      <c r="G411" s="90"/>
    </row>
    <row r="412" spans="7:7" ht="15" customHeight="1" x14ac:dyDescent="0.25">
      <c r="G412" s="90"/>
    </row>
    <row r="413" spans="7:7" ht="15" customHeight="1" x14ac:dyDescent="0.25">
      <c r="G413" s="90"/>
    </row>
    <row r="414" spans="7:7" ht="15" customHeight="1" x14ac:dyDescent="0.25">
      <c r="G414" s="90"/>
    </row>
    <row r="415" spans="7:7" ht="15" customHeight="1" x14ac:dyDescent="0.25">
      <c r="G415" s="90"/>
    </row>
    <row r="416" spans="7:7" ht="15" customHeight="1" x14ac:dyDescent="0.25">
      <c r="G416" s="90"/>
    </row>
    <row r="417" spans="7:7" ht="15" customHeight="1" x14ac:dyDescent="0.25">
      <c r="G417" s="90"/>
    </row>
    <row r="418" spans="7:7" ht="15" customHeight="1" x14ac:dyDescent="0.25">
      <c r="G418" s="90"/>
    </row>
    <row r="419" spans="7:7" ht="15" customHeight="1" x14ac:dyDescent="0.25">
      <c r="G419" s="90"/>
    </row>
    <row r="420" spans="7:7" ht="15" customHeight="1" x14ac:dyDescent="0.25">
      <c r="G420" s="90"/>
    </row>
    <row r="421" spans="7:7" ht="15" customHeight="1" x14ac:dyDescent="0.25">
      <c r="G421" s="90"/>
    </row>
    <row r="422" spans="7:7" ht="15" customHeight="1" x14ac:dyDescent="0.25">
      <c r="G422" s="90"/>
    </row>
    <row r="423" spans="7:7" ht="15" customHeight="1" x14ac:dyDescent="0.25">
      <c r="G423" s="90"/>
    </row>
    <row r="424" spans="7:7" ht="15" customHeight="1" x14ac:dyDescent="0.25">
      <c r="G424" s="90"/>
    </row>
    <row r="425" spans="7:7" ht="15" customHeight="1" x14ac:dyDescent="0.25">
      <c r="G425" s="90"/>
    </row>
    <row r="426" spans="7:7" ht="15" customHeight="1" x14ac:dyDescent="0.25">
      <c r="G426" s="90"/>
    </row>
    <row r="427" spans="7:7" ht="15" customHeight="1" x14ac:dyDescent="0.25">
      <c r="G427" s="90"/>
    </row>
    <row r="428" spans="7:7" ht="15" customHeight="1" x14ac:dyDescent="0.25">
      <c r="G428" s="90"/>
    </row>
    <row r="429" spans="7:7" ht="15" customHeight="1" x14ac:dyDescent="0.25">
      <c r="G429" s="90"/>
    </row>
    <row r="430" spans="7:7" ht="15" customHeight="1" x14ac:dyDescent="0.25">
      <c r="G430" s="90"/>
    </row>
    <row r="431" spans="7:7" ht="15" customHeight="1" x14ac:dyDescent="0.25">
      <c r="G431" s="90"/>
    </row>
    <row r="432" spans="7:7" ht="15" customHeight="1" x14ac:dyDescent="0.25">
      <c r="G432" s="90"/>
    </row>
    <row r="433" spans="7:7" ht="15" customHeight="1" x14ac:dyDescent="0.25">
      <c r="G433" s="90"/>
    </row>
    <row r="434" spans="7:7" ht="15" customHeight="1" x14ac:dyDescent="0.25">
      <c r="G434" s="90"/>
    </row>
    <row r="435" spans="7:7" ht="15" customHeight="1" x14ac:dyDescent="0.25">
      <c r="G435" s="90"/>
    </row>
    <row r="436" spans="7:7" ht="15" customHeight="1" x14ac:dyDescent="0.25">
      <c r="G436" s="90"/>
    </row>
    <row r="437" spans="7:7" ht="15" customHeight="1" x14ac:dyDescent="0.25">
      <c r="G437" s="90"/>
    </row>
    <row r="438" spans="7:7" ht="15" customHeight="1" x14ac:dyDescent="0.25">
      <c r="G438" s="90"/>
    </row>
    <row r="439" spans="7:7" ht="15" customHeight="1" x14ac:dyDescent="0.25">
      <c r="G439" s="90"/>
    </row>
    <row r="440" spans="7:7" ht="15" customHeight="1" x14ac:dyDescent="0.25">
      <c r="G440" s="90"/>
    </row>
    <row r="441" spans="7:7" ht="15" customHeight="1" x14ac:dyDescent="0.25">
      <c r="G441" s="90"/>
    </row>
    <row r="442" spans="7:7" ht="15" customHeight="1" x14ac:dyDescent="0.25">
      <c r="G442" s="90"/>
    </row>
    <row r="443" spans="7:7" ht="15" customHeight="1" x14ac:dyDescent="0.25">
      <c r="G443" s="90"/>
    </row>
    <row r="444" spans="7:7" ht="15" customHeight="1" x14ac:dyDescent="0.25">
      <c r="G444" s="90"/>
    </row>
    <row r="445" spans="7:7" ht="15" customHeight="1" x14ac:dyDescent="0.25">
      <c r="G445" s="90"/>
    </row>
    <row r="446" spans="7:7" ht="15" customHeight="1" x14ac:dyDescent="0.25">
      <c r="G446" s="90"/>
    </row>
    <row r="447" spans="7:7" ht="15" customHeight="1" x14ac:dyDescent="0.25">
      <c r="G447" s="90"/>
    </row>
    <row r="448" spans="7:7" ht="15" customHeight="1" x14ac:dyDescent="0.25">
      <c r="G448" s="90"/>
    </row>
    <row r="449" spans="7:7" ht="15" customHeight="1" x14ac:dyDescent="0.25">
      <c r="G449" s="90"/>
    </row>
    <row r="450" spans="7:7" ht="15" customHeight="1" x14ac:dyDescent="0.25">
      <c r="G450" s="90"/>
    </row>
    <row r="451" spans="7:7" ht="15" customHeight="1" x14ac:dyDescent="0.25">
      <c r="G451" s="90"/>
    </row>
    <row r="452" spans="7:7" ht="15" customHeight="1" x14ac:dyDescent="0.25">
      <c r="G452" s="90"/>
    </row>
    <row r="453" spans="7:7" ht="15" customHeight="1" x14ac:dyDescent="0.25">
      <c r="G453" s="90"/>
    </row>
    <row r="454" spans="7:7" ht="15" customHeight="1" x14ac:dyDescent="0.25">
      <c r="G454" s="90"/>
    </row>
    <row r="455" spans="7:7" ht="15" customHeight="1" x14ac:dyDescent="0.25">
      <c r="G455" s="90"/>
    </row>
    <row r="456" spans="7:7" ht="15" customHeight="1" x14ac:dyDescent="0.25">
      <c r="G456" s="90"/>
    </row>
    <row r="457" spans="7:7" ht="15" customHeight="1" x14ac:dyDescent="0.25">
      <c r="G457" s="90"/>
    </row>
    <row r="458" spans="7:7" ht="15" customHeight="1" x14ac:dyDescent="0.25">
      <c r="G458" s="90"/>
    </row>
    <row r="459" spans="7:7" ht="15" customHeight="1" x14ac:dyDescent="0.25">
      <c r="G459" s="90"/>
    </row>
    <row r="460" spans="7:7" ht="15" customHeight="1" x14ac:dyDescent="0.25">
      <c r="G460" s="90"/>
    </row>
    <row r="461" spans="7:7" ht="15" customHeight="1" x14ac:dyDescent="0.25">
      <c r="G461" s="90"/>
    </row>
    <row r="462" spans="7:7" ht="15" customHeight="1" x14ac:dyDescent="0.25">
      <c r="G462" s="90"/>
    </row>
    <row r="463" spans="7:7" ht="15" customHeight="1" x14ac:dyDescent="0.25">
      <c r="G463" s="90"/>
    </row>
    <row r="464" spans="7:7" ht="15" customHeight="1" x14ac:dyDescent="0.25">
      <c r="G464" s="90"/>
    </row>
    <row r="465" spans="7:7" ht="15" customHeight="1" x14ac:dyDescent="0.25">
      <c r="G465" s="90"/>
    </row>
    <row r="466" spans="7:7" ht="15" customHeight="1" x14ac:dyDescent="0.25">
      <c r="G466" s="90"/>
    </row>
    <row r="467" spans="7:7" ht="15" customHeight="1" x14ac:dyDescent="0.25">
      <c r="G467" s="90"/>
    </row>
    <row r="468" spans="7:7" ht="15" customHeight="1" x14ac:dyDescent="0.25">
      <c r="G468" s="90"/>
    </row>
    <row r="469" spans="7:7" ht="15" customHeight="1" x14ac:dyDescent="0.25">
      <c r="G469" s="90"/>
    </row>
    <row r="470" spans="7:7" ht="15" customHeight="1" x14ac:dyDescent="0.25">
      <c r="G470" s="90"/>
    </row>
    <row r="471" spans="7:7" ht="15" customHeight="1" x14ac:dyDescent="0.25">
      <c r="G471" s="90"/>
    </row>
    <row r="472" spans="7:7" ht="15" customHeight="1" x14ac:dyDescent="0.25">
      <c r="G472" s="90"/>
    </row>
    <row r="473" spans="7:7" ht="15" customHeight="1" x14ac:dyDescent="0.25">
      <c r="G473" s="90"/>
    </row>
    <row r="474" spans="7:7" ht="15" customHeight="1" x14ac:dyDescent="0.25">
      <c r="G474" s="90"/>
    </row>
    <row r="475" spans="7:7" ht="15" customHeight="1" x14ac:dyDescent="0.25">
      <c r="G475" s="90"/>
    </row>
    <row r="476" spans="7:7" ht="15" customHeight="1" x14ac:dyDescent="0.25">
      <c r="G476" s="90"/>
    </row>
    <row r="477" spans="7:7" ht="15" customHeight="1" x14ac:dyDescent="0.25">
      <c r="G477" s="90"/>
    </row>
    <row r="478" spans="7:7" ht="15" customHeight="1" x14ac:dyDescent="0.25">
      <c r="G478" s="90"/>
    </row>
    <row r="479" spans="7:7" ht="15" customHeight="1" x14ac:dyDescent="0.25">
      <c r="G479" s="90"/>
    </row>
    <row r="480" spans="7:7" ht="15" customHeight="1" x14ac:dyDescent="0.25">
      <c r="G480" s="90"/>
    </row>
    <row r="481" spans="7:7" ht="15" customHeight="1" x14ac:dyDescent="0.25">
      <c r="G481" s="90"/>
    </row>
    <row r="482" spans="7:7" ht="15" customHeight="1" x14ac:dyDescent="0.25">
      <c r="G482" s="90"/>
    </row>
    <row r="483" spans="7:7" ht="15" customHeight="1" x14ac:dyDescent="0.25">
      <c r="G483" s="90"/>
    </row>
    <row r="484" spans="7:7" ht="15" customHeight="1" x14ac:dyDescent="0.25">
      <c r="G484" s="90"/>
    </row>
    <row r="485" spans="7:7" ht="15" customHeight="1" x14ac:dyDescent="0.25">
      <c r="G485" s="90"/>
    </row>
    <row r="486" spans="7:7" ht="15" customHeight="1" x14ac:dyDescent="0.25">
      <c r="G486" s="90"/>
    </row>
    <row r="487" spans="7:7" ht="15" customHeight="1" x14ac:dyDescent="0.25">
      <c r="G487" s="90"/>
    </row>
    <row r="488" spans="7:7" ht="15" customHeight="1" x14ac:dyDescent="0.25">
      <c r="G488" s="90"/>
    </row>
    <row r="489" spans="7:7" ht="15" customHeight="1" x14ac:dyDescent="0.25">
      <c r="G489" s="90"/>
    </row>
    <row r="490" spans="7:7" ht="15" customHeight="1" x14ac:dyDescent="0.25">
      <c r="G490" s="90"/>
    </row>
    <row r="491" spans="7:7" ht="15" customHeight="1" x14ac:dyDescent="0.25">
      <c r="G491" s="90"/>
    </row>
    <row r="492" spans="7:7" ht="15" customHeight="1" x14ac:dyDescent="0.25">
      <c r="G492" s="90"/>
    </row>
    <row r="493" spans="7:7" ht="15" customHeight="1" x14ac:dyDescent="0.25">
      <c r="G493" s="90"/>
    </row>
    <row r="494" spans="7:7" ht="15" customHeight="1" x14ac:dyDescent="0.25">
      <c r="G494" s="90"/>
    </row>
    <row r="495" spans="7:7" ht="15" customHeight="1" x14ac:dyDescent="0.25">
      <c r="G495" s="90"/>
    </row>
    <row r="496" spans="7:7" ht="15" customHeight="1" x14ac:dyDescent="0.25">
      <c r="G496" s="90"/>
    </row>
    <row r="497" spans="7:7" ht="15" customHeight="1" x14ac:dyDescent="0.25">
      <c r="G497" s="90"/>
    </row>
    <row r="498" spans="7:7" ht="15" customHeight="1" x14ac:dyDescent="0.25">
      <c r="G498" s="90"/>
    </row>
    <row r="499" spans="7:7" ht="15" customHeight="1" x14ac:dyDescent="0.25">
      <c r="G499" s="90"/>
    </row>
    <row r="500" spans="7:7" ht="15" customHeight="1" x14ac:dyDescent="0.25">
      <c r="G500" s="90"/>
    </row>
    <row r="501" spans="7:7" ht="15" customHeight="1" x14ac:dyDescent="0.25">
      <c r="G501" s="90"/>
    </row>
    <row r="502" spans="7:7" ht="15" customHeight="1" x14ac:dyDescent="0.25">
      <c r="G502" s="90"/>
    </row>
    <row r="503" spans="7:7" ht="15" customHeight="1" x14ac:dyDescent="0.25">
      <c r="G503" s="90"/>
    </row>
    <row r="504" spans="7:7" ht="15" customHeight="1" x14ac:dyDescent="0.25">
      <c r="G504" s="90"/>
    </row>
    <row r="505" spans="7:7" ht="15" customHeight="1" x14ac:dyDescent="0.25">
      <c r="G505" s="90"/>
    </row>
    <row r="506" spans="7:7" ht="15" customHeight="1" x14ac:dyDescent="0.25">
      <c r="G506" s="90"/>
    </row>
    <row r="507" spans="7:7" ht="15" customHeight="1" x14ac:dyDescent="0.25">
      <c r="G507" s="90"/>
    </row>
    <row r="508" spans="7:7" ht="15" customHeight="1" x14ac:dyDescent="0.25">
      <c r="G508" s="90"/>
    </row>
    <row r="509" spans="7:7" ht="15" customHeight="1" x14ac:dyDescent="0.25">
      <c r="G509" s="90"/>
    </row>
    <row r="510" spans="7:7" ht="15" customHeight="1" x14ac:dyDescent="0.25">
      <c r="G510" s="90"/>
    </row>
    <row r="511" spans="7:7" ht="15" customHeight="1" x14ac:dyDescent="0.25">
      <c r="G511" s="90"/>
    </row>
    <row r="512" spans="7:7" ht="15" customHeight="1" x14ac:dyDescent="0.25">
      <c r="G512" s="90"/>
    </row>
    <row r="513" spans="7:7" ht="15" customHeight="1" x14ac:dyDescent="0.25">
      <c r="G513" s="90"/>
    </row>
    <row r="514" spans="7:7" ht="15" customHeight="1" x14ac:dyDescent="0.25">
      <c r="G514" s="90"/>
    </row>
    <row r="515" spans="7:7" ht="15" customHeight="1" x14ac:dyDescent="0.25">
      <c r="G515" s="90"/>
    </row>
    <row r="516" spans="7:7" ht="15" customHeight="1" x14ac:dyDescent="0.25">
      <c r="G516" s="90"/>
    </row>
    <row r="517" spans="7:7" ht="15" customHeight="1" x14ac:dyDescent="0.25">
      <c r="G517" s="90"/>
    </row>
    <row r="518" spans="7:7" ht="15" customHeight="1" x14ac:dyDescent="0.25">
      <c r="G518" s="90"/>
    </row>
    <row r="519" spans="7:7" ht="15" customHeight="1" x14ac:dyDescent="0.25">
      <c r="G519" s="90"/>
    </row>
    <row r="520" spans="7:7" ht="15" customHeight="1" x14ac:dyDescent="0.25">
      <c r="G520" s="90"/>
    </row>
    <row r="521" spans="7:7" ht="15" customHeight="1" x14ac:dyDescent="0.25">
      <c r="G521" s="90"/>
    </row>
    <row r="522" spans="7:7" ht="15" customHeight="1" x14ac:dyDescent="0.25">
      <c r="G522" s="90"/>
    </row>
    <row r="523" spans="7:7" ht="15" customHeight="1" x14ac:dyDescent="0.25">
      <c r="G523" s="90"/>
    </row>
    <row r="524" spans="7:7" ht="15" customHeight="1" x14ac:dyDescent="0.25">
      <c r="G524" s="90"/>
    </row>
    <row r="525" spans="7:7" ht="15" customHeight="1" x14ac:dyDescent="0.25">
      <c r="G525" s="90"/>
    </row>
    <row r="526" spans="7:7" ht="15" customHeight="1" x14ac:dyDescent="0.25">
      <c r="G526" s="90"/>
    </row>
    <row r="527" spans="7:7" ht="15" customHeight="1" x14ac:dyDescent="0.25">
      <c r="G527" s="90"/>
    </row>
    <row r="528" spans="7:7" ht="15" customHeight="1" x14ac:dyDescent="0.25">
      <c r="G528" s="90"/>
    </row>
    <row r="529" spans="7:7" ht="15" customHeight="1" x14ac:dyDescent="0.25">
      <c r="G529" s="90"/>
    </row>
    <row r="530" spans="7:7" ht="15" customHeight="1" x14ac:dyDescent="0.25">
      <c r="G530" s="90"/>
    </row>
    <row r="531" spans="7:7" ht="15" customHeight="1" x14ac:dyDescent="0.25">
      <c r="G531" s="90"/>
    </row>
    <row r="532" spans="7:7" ht="15" customHeight="1" x14ac:dyDescent="0.25">
      <c r="G532" s="90"/>
    </row>
    <row r="533" spans="7:7" ht="15" customHeight="1" x14ac:dyDescent="0.25">
      <c r="G533" s="90"/>
    </row>
    <row r="534" spans="7:7" ht="15" customHeight="1" x14ac:dyDescent="0.25">
      <c r="G534" s="90"/>
    </row>
    <row r="535" spans="7:7" ht="15" customHeight="1" x14ac:dyDescent="0.25">
      <c r="G535" s="90"/>
    </row>
    <row r="536" spans="7:7" ht="15" customHeight="1" x14ac:dyDescent="0.25">
      <c r="G536" s="90"/>
    </row>
    <row r="537" spans="7:7" ht="15" customHeight="1" x14ac:dyDescent="0.25">
      <c r="G537" s="90"/>
    </row>
    <row r="538" spans="7:7" ht="15" customHeight="1" x14ac:dyDescent="0.25">
      <c r="G538" s="90"/>
    </row>
    <row r="539" spans="7:7" ht="15" customHeight="1" x14ac:dyDescent="0.25">
      <c r="G539" s="90"/>
    </row>
    <row r="540" spans="7:7" ht="15" customHeight="1" x14ac:dyDescent="0.25">
      <c r="G540" s="90"/>
    </row>
    <row r="541" spans="7:7" ht="15" customHeight="1" x14ac:dyDescent="0.25">
      <c r="G541" s="79"/>
    </row>
  </sheetData>
  <sheetProtection algorithmName="SHA-512" hashValue="nf/585LhZ0q6LHqM9d+E3yD9NDxV4kgEnwwJHsPeSTrJ+FRS1sgUhR+z573KPyRY6TD16rvfdaP64AS9CSn1Vg==" saltValue="VLBLBoAxmB3jXfDe6Ac3WQ==" spinCount="100000" sheet="1" objects="1" scenarios="1" formatCells="0" formatColumns="0" formatRows="0" insertColumns="0" insertRows="0" insertHyperlinks="0"/>
  <protectedRanges>
    <protectedRange sqref="A5:H128" name="Range1"/>
  </protectedRanges>
  <mergeCells count="55">
    <mergeCell ref="A128:H128"/>
    <mergeCell ref="E116:E117"/>
    <mergeCell ref="A118:H118"/>
    <mergeCell ref="E119:E120"/>
    <mergeCell ref="A122:H122"/>
    <mergeCell ref="E123:E125"/>
    <mergeCell ref="A127:H127"/>
    <mergeCell ref="A88:H88"/>
    <mergeCell ref="E92:E93"/>
    <mergeCell ref="A96:H96"/>
    <mergeCell ref="A100:H100"/>
    <mergeCell ref="A105:H105"/>
    <mergeCell ref="A113:H113"/>
    <mergeCell ref="A72:E72"/>
    <mergeCell ref="A75:E75"/>
    <mergeCell ref="A76:E76"/>
    <mergeCell ref="A79:E79"/>
    <mergeCell ref="B80:C80"/>
    <mergeCell ref="A87:H87"/>
    <mergeCell ref="A53:E53"/>
    <mergeCell ref="A54:E54"/>
    <mergeCell ref="A58:E58"/>
    <mergeCell ref="A64:E64"/>
    <mergeCell ref="A67:E67"/>
    <mergeCell ref="A68:E68"/>
    <mergeCell ref="A42:H42"/>
    <mergeCell ref="A43:H43"/>
    <mergeCell ref="A45:H45"/>
    <mergeCell ref="A47:H47"/>
    <mergeCell ref="A49:H49"/>
    <mergeCell ref="A52:H52"/>
    <mergeCell ref="A26:H26"/>
    <mergeCell ref="E27:E28"/>
    <mergeCell ref="A29:H29"/>
    <mergeCell ref="A32:H32"/>
    <mergeCell ref="A37:H37"/>
    <mergeCell ref="A39:H39"/>
    <mergeCell ref="E5:E6"/>
    <mergeCell ref="A7:H7"/>
    <mergeCell ref="A13:H13"/>
    <mergeCell ref="A17:H17"/>
    <mergeCell ref="A20:H20"/>
    <mergeCell ref="A23:H23"/>
    <mergeCell ref="G1:G2"/>
    <mergeCell ref="I1:I2"/>
    <mergeCell ref="J1:J2"/>
    <mergeCell ref="M1:M2"/>
    <mergeCell ref="A3:H3"/>
    <mergeCell ref="A4:H4"/>
    <mergeCell ref="A1:A2"/>
    <mergeCell ref="B1:B2"/>
    <mergeCell ref="C1:C2"/>
    <mergeCell ref="D1:D2"/>
    <mergeCell ref="E1:E2"/>
    <mergeCell ref="F1:F2"/>
  </mergeCells>
  <hyperlinks>
    <hyperlink ref="G6" r:id="rId1" xr:uid="{9C0B7066-932E-4799-98CE-D62253B1E0FC}"/>
    <hyperlink ref="G8" r:id="rId2" xr:uid="{3E8534CA-6954-4566-A119-9FBF7A0E3234}"/>
    <hyperlink ref="G11" r:id="rId3" xr:uid="{A77A6570-47A2-46D6-BDC7-7E41BDFA2C99}"/>
    <hyperlink ref="G12" r:id="rId4" xr:uid="{9DF249A2-049A-44D0-B8C5-194F262B1AA1}"/>
    <hyperlink ref="G14" r:id="rId5" xr:uid="{0D778998-2096-46BF-819B-705C8B4FD146}"/>
    <hyperlink ref="G15" r:id="rId6" xr:uid="{011CE3FA-49C5-413B-985E-F6B254479EB6}"/>
    <hyperlink ref="G16" r:id="rId7" xr:uid="{EE01AA4A-9D7C-4FFA-863F-D02794332164}"/>
    <hyperlink ref="G18" r:id="rId8" xr:uid="{57530165-AB6A-4D2A-994B-F83C28200EE5}"/>
    <hyperlink ref="G19" r:id="rId9" xr:uid="{CB59F39C-B625-4D41-8020-5B37857E5E1C}"/>
    <hyperlink ref="G24" r:id="rId10" xr:uid="{0DE029C1-C6B1-4B58-95B3-BA4CF5EC054D}"/>
    <hyperlink ref="G25" r:id="rId11" xr:uid="{57ADBEAE-6605-4923-919F-61B34D41588E}"/>
    <hyperlink ref="G27" r:id="rId12" xr:uid="{0F641392-16A5-4CFD-8FED-EC45BCE8B8A3}"/>
    <hyperlink ref="G30" r:id="rId13" xr:uid="{3F0E016A-676B-4FB5-A103-BCD6C601E0DA}"/>
    <hyperlink ref="G33" r:id="rId14" xr:uid="{298F1237-FBD6-4582-9BB0-C9C13D6679F0}"/>
    <hyperlink ref="G34" r:id="rId15" xr:uid="{A7E2C70A-21B1-4F64-933C-D083DDB08A7A}"/>
    <hyperlink ref="G35" r:id="rId16" xr:uid="{A088B38D-5DD7-4092-8D1A-D4479EF78A9C}"/>
    <hyperlink ref="G36" r:id="rId17" xr:uid="{6FF7B7C4-E10C-4F62-84B0-2C0451EEA88D}"/>
    <hyperlink ref="G38" r:id="rId18" xr:uid="{9C2D2D34-E63F-4DE8-9AB9-3E0DAE8E03F2}"/>
    <hyperlink ref="G40" r:id="rId19" xr:uid="{45D24341-5073-4659-A7BA-8C92D5965A1A}"/>
    <hyperlink ref="G55" r:id="rId20" xr:uid="{012AF00C-CF01-4F0C-A3EA-48B8D246EF6C}"/>
    <hyperlink ref="G56" r:id="rId21" xr:uid="{5DB28B03-E83C-495C-B483-F2C80A27A233}"/>
    <hyperlink ref="G63" r:id="rId22" xr:uid="{52FA19E6-514D-48C2-BEDA-329EEB229D73}"/>
    <hyperlink ref="G84" r:id="rId23" xr:uid="{1A713F6F-2403-4E3A-9E89-CE772BD20D0C}"/>
    <hyperlink ref="G83" r:id="rId24" xr:uid="{772A9BD8-AE6D-4DA6-94BA-A38DE7B20C6C}"/>
    <hyperlink ref="G85" r:id="rId25" xr:uid="{6C141F3D-A551-4234-8B5E-E142951C10C7}"/>
    <hyperlink ref="G89" r:id="rId26" xr:uid="{C5E3FB6E-D34F-44FB-842E-FC6036506F09}"/>
    <hyperlink ref="G90" r:id="rId27" xr:uid="{3797DE43-93CB-4002-946C-CD2C494E54EB}"/>
    <hyperlink ref="G91" r:id="rId28" xr:uid="{4E0FE874-1D09-4805-B130-0AE739A6C892}"/>
    <hyperlink ref="G92" r:id="rId29" xr:uid="{02EE02B7-F39A-4449-89AE-C35F41CC09B1}"/>
    <hyperlink ref="G93" r:id="rId30" xr:uid="{1ACD0D44-F89B-402C-8CCB-172BA07A5663}"/>
    <hyperlink ref="G94" r:id="rId31" xr:uid="{C7BD5DEE-CA5B-4219-8736-007DA5265351}"/>
    <hyperlink ref="G95" r:id="rId32" xr:uid="{E16683E4-A8F4-430F-A83F-97643B78058D}"/>
    <hyperlink ref="G97" r:id="rId33" xr:uid="{E8E37B2C-01E9-4558-93F8-6CD7E6709AC4}"/>
    <hyperlink ref="G98" r:id="rId34" xr:uid="{99D8574A-2743-4A08-9FCA-BDBA6EE38AB5}"/>
    <hyperlink ref="G103" r:id="rId35" xr:uid="{5E5924AF-4E64-4D54-A0F4-5FFC2CDF01D3}"/>
    <hyperlink ref="G104" r:id="rId36" xr:uid="{A932F5B3-08C8-4856-8E8F-7EFAD9A34831}"/>
    <hyperlink ref="G106" r:id="rId37" xr:uid="{68C0D763-AF6D-43D0-86AA-E3BE58E0304D}"/>
    <hyperlink ref="G107" r:id="rId38" xr:uid="{C23C344A-076A-4F69-A870-1F55EB6BEA96}"/>
    <hyperlink ref="G108" r:id="rId39" xr:uid="{94E7D627-A598-447F-BDC5-27BFCE01BF73}"/>
    <hyperlink ref="G114" r:id="rId40" xr:uid="{7BF094C7-F3E9-4C16-AD93-BB56E3110597}"/>
    <hyperlink ref="G115" r:id="rId41" xr:uid="{ABB7CEB9-BE26-4075-93E1-BA2FED72980C}"/>
    <hyperlink ref="G116" r:id="rId42" xr:uid="{032BD351-2BB4-48D5-8571-ECB752AA9F6B}"/>
    <hyperlink ref="G117" r:id="rId43" xr:uid="{948F22A7-994F-4ED1-80C9-2937377204C2}"/>
    <hyperlink ref="G119" r:id="rId44" xr:uid="{70BD86C2-6D5B-415F-A389-38F0F95AB9A1}"/>
    <hyperlink ref="G120" r:id="rId45" xr:uid="{69C7C603-9C49-415E-AE2C-1B420C58BEAA}"/>
    <hyperlink ref="G121" r:id="rId46" xr:uid="{A05FCDB9-F995-4281-8348-A2EBEBCE1744}"/>
    <hyperlink ref="G123" r:id="rId47" xr:uid="{6F298D09-2294-4910-B2CD-4329C6530418}"/>
    <hyperlink ref="G124" r:id="rId48" xr:uid="{9829AA7F-C321-4999-9481-DD5E6407F284}"/>
    <hyperlink ref="G125" r:id="rId49" xr:uid="{1F85E62E-490D-427F-BDD7-104CA817D352}"/>
    <hyperlink ref="G126" r:id="rId50" xr:uid="{8454682B-F75E-48DB-BDCD-E962D5645C9E}"/>
    <hyperlink ref="G44" r:id="rId51" xr:uid="{11037697-8DD3-4639-AE09-4C8E415BA722}"/>
    <hyperlink ref="G101" r:id="rId52" xr:uid="{E41E1207-5E51-441D-8180-82E5D9CE19C3}"/>
    <hyperlink ref="G99" r:id="rId53" xr:uid="{2EA95EBA-8EB0-4E72-BDE1-816BEEB5C63C}"/>
    <hyperlink ref="G82" r:id="rId54" xr:uid="{80EC9C4C-E4A3-4451-8E37-A23CE534E060}"/>
    <hyperlink ref="G21" r:id="rId55" xr:uid="{7BD58BCB-B3F0-48D1-BED5-EC9A930CB714}"/>
    <hyperlink ref="G28" r:id="rId56" xr:uid="{43938618-002C-4C36-BE6E-85A7E02D8C98}"/>
    <hyperlink ref="G57" r:id="rId57" display="PB33_Status Tindak Lanjut Monev Atas Implementasi JF" xr:uid="{7135F6D2-BEA2-4B7F-891E-2D86C9730E4E}"/>
    <hyperlink ref="G59" r:id="rId58" display="PB34_Laporan Kegiatan FGD Sharing Session terkait Central Government Advisory" xr:uid="{70F2212A-A88B-4593-B01D-342F8CFCAE5C}"/>
    <hyperlink ref="G60" r:id="rId59" display="PB35_Laporan Pelaksanaan Kegiatan Terkait Central Government Advisory" xr:uid="{DB260896-36FA-4261-A2AA-34D2392B1C2B}"/>
    <hyperlink ref="G62" r:id="rId60" display="PB36a_Sharing Session Peningkatan Capaian IKPA" xr:uid="{D6879515-550F-457C-AFB8-727222C49159}"/>
    <hyperlink ref="G65" r:id="rId61" display="PB37_Laporan Pelaksanaan Kegiatan Terkait Central Government Advisory" xr:uid="{5A4C16F4-CCFC-4A6D-9A18-A2A026EA43E2}"/>
    <hyperlink ref="G66" r:id="rId62" display="PB38_Hasil dan Tindak Lanjut Monev terkait Central Government Advisory" xr:uid="{F6FA5487-F9AA-41DC-A661-7424C4E00A25}"/>
    <hyperlink ref="G46" r:id="rId63" xr:uid="{EDA4EEE0-CDDE-45B9-A2B3-622498A71E45}"/>
    <hyperlink ref="G69" r:id="rId64" display="PB39_FGD Sharing Session terkait Local Government Advisory" xr:uid="{34D15EEC-93D7-4E5F-B1DA-CE8E2DD2FC10}"/>
    <hyperlink ref="G73" r:id="rId65" xr:uid="{45796597-1800-4B85-A6EC-93238E1AF608}"/>
    <hyperlink ref="G74" r:id="rId66" xr:uid="{A11B0D04-45F5-4949-ADF3-456FF5EB5FD7}"/>
    <hyperlink ref="G77" r:id="rId67" xr:uid="{71620070-C39B-4FC3-9686-CC4528E67CC4}"/>
    <hyperlink ref="G78" r:id="rId68" xr:uid="{CB42CF85-600D-4F19-B39F-38EC86FBE2AA}"/>
    <hyperlink ref="G81" r:id="rId69" xr:uid="{276650A0-0934-45FE-B3EB-226A5F238EC4}"/>
    <hyperlink ref="G70" r:id="rId70" xr:uid="{B0BF6057-115B-496A-AA1A-F254473E1DA7}"/>
    <hyperlink ref="G71" r:id="rId71" xr:uid="{550F57F6-DFEA-439B-AF46-E9E064C1E32F}"/>
    <hyperlink ref="G110" r:id="rId72" xr:uid="{09F6DEFB-98C2-416D-99E0-48F7775759B6}"/>
    <hyperlink ref="G111" r:id="rId73" xr:uid="{AEF4D68F-7F8A-4C08-ADC3-9150BF5C4F5B}"/>
    <hyperlink ref="G48" r:id="rId74" xr:uid="{F01814EE-7AF4-46E8-B005-5E80E885A6CB}"/>
    <hyperlink ref="G5" r:id="rId75" xr:uid="{2A00ABE1-1F7C-4A91-88DB-79ECF9356E84}"/>
    <hyperlink ref="G112" r:id="rId76" xr:uid="{CE5F3168-4D76-47BA-B53E-983F4E33B1E8}"/>
    <hyperlink ref="G22" r:id="rId77" display="PB14_Surat Penggantian Uang Persediaan" xr:uid="{2ADC27A7-BF44-4C35-B6B9-7C041C93BC72}"/>
    <hyperlink ref="G9" r:id="rId78" xr:uid="{921999A7-5A8E-455A-8486-F2EB1A1E6AB4}"/>
    <hyperlink ref="G102" r:id="rId79" xr:uid="{D66554F0-E37F-4DBD-944F-5482C03422B3}"/>
    <hyperlink ref="G50" r:id="rId80" xr:uid="{6D5B9AEF-3BE5-414F-9BE9-B911980EC89E}"/>
    <hyperlink ref="G10" r:id="rId81" xr:uid="{3DA31F3A-9F3A-4EC4-B316-F34BB14A2CBD}"/>
    <hyperlink ref="G31" r:id="rId82" xr:uid="{60E0863E-F1EF-4C3F-8968-39FF67BEB7EC}"/>
    <hyperlink ref="G109" r:id="rId83" xr:uid="{B732DC2B-9CED-4408-8307-6DA94A0A56E7}"/>
  </hyperlinks>
  <pageMargins left="0.7" right="0.7" top="0.75" bottom="0.75" header="0.3" footer="0.3"/>
  <pageSetup paperSize="9" orientation="portrait" r:id="rId8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KK_Proses Bisnis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Haikal Putra Hendrawan</dc:creator>
  <cp:lastModifiedBy>Muhammad Haikal Putra Hendrawan</cp:lastModifiedBy>
  <dcterms:created xsi:type="dcterms:W3CDTF">2026-09-13T09:10:44Z</dcterms:created>
  <dcterms:modified xsi:type="dcterms:W3CDTF">2026-09-13T09:11:06Z</dcterms:modified>
</cp:coreProperties>
</file>