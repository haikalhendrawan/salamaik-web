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amaik-web\docs\"/>
    </mc:Choice>
  </mc:AlternateContent>
  <xr:revisionPtr revIDLastSave="0" documentId="8_{80DB76DA-7A64-45E7-8131-414F3306FD86}" xr6:coauthVersionLast="47" xr6:coauthVersionMax="47" xr10:uidLastSave="{00000000-0000-0000-0000-000000000000}"/>
  <bookViews>
    <workbookView xWindow="-120" yWindow="-120" windowWidth="29040" windowHeight="16440" xr2:uid="{FEE33410-7AAA-4BDD-8DE6-FDDC81C70DF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1" l="1"/>
  <c r="O16" i="1"/>
  <c r="M15" i="1"/>
  <c r="M16" i="1"/>
  <c r="L15" i="1"/>
  <c r="L16" i="1"/>
  <c r="I15" i="1"/>
  <c r="I16" i="1"/>
  <c r="F15" i="1"/>
  <c r="F16" i="1"/>
  <c r="O10" i="1"/>
  <c r="I10" i="1"/>
  <c r="L10" i="1"/>
  <c r="F10" i="1"/>
  <c r="O11" i="1"/>
  <c r="L14" i="1"/>
  <c r="I14" i="1"/>
  <c r="F14" i="1"/>
  <c r="L9" i="1"/>
  <c r="I9" i="1"/>
  <c r="F9" i="1"/>
  <c r="N6" i="1"/>
  <c r="O19" i="1" s="1"/>
  <c r="L5" i="1"/>
  <c r="G5" i="1"/>
  <c r="I5" i="1" s="1"/>
  <c r="D5" i="1"/>
  <c r="F5" i="1" s="1"/>
  <c r="M10" i="1" l="1"/>
  <c r="M9" i="1"/>
  <c r="O9" i="1" s="1"/>
  <c r="M14" i="1"/>
  <c r="O14" i="1" s="1"/>
  <c r="O17" i="1" s="1"/>
  <c r="M5" i="1"/>
  <c r="O5" i="1" s="1"/>
  <c r="O6" i="1" s="1"/>
  <c r="O18" i="1" l="1"/>
  <c r="O20" i="1" s="1"/>
</calcChain>
</file>

<file path=xl/sharedStrings.xml><?xml version="1.0" encoding="utf-8"?>
<sst xmlns="http://schemas.openxmlformats.org/spreadsheetml/2006/main" count="38" uniqueCount="37">
  <si>
    <t>No</t>
  </si>
  <si>
    <t>KPPN</t>
  </si>
  <si>
    <t>Bobot KPPN</t>
  </si>
  <si>
    <t>Penilaian Aspek Kinerja KPPN</t>
  </si>
  <si>
    <t>AKK Penyumbang Nilai LHPS</t>
  </si>
  <si>
    <t>Proses Bisnis (PB) (50%)</t>
  </si>
  <si>
    <t>Sarana dan Prasarana Mutu Layanan (15%)</t>
  </si>
  <si>
    <t>Capaian Kinerja (35%)</t>
  </si>
  <si>
    <t>Nilai AKK</t>
  </si>
  <si>
    <t>Bobot Memenuhi</t>
  </si>
  <si>
    <t>Hasil AKK Penyumbang Nilai LHPS</t>
  </si>
  <si>
    <t>Nilai Kertas Kerja PB</t>
  </si>
  <si>
    <t>Bobot PB</t>
  </si>
  <si>
    <t>Nilai PB</t>
  </si>
  <si>
    <t>Nilai Kertas Kerja SPML</t>
  </si>
  <si>
    <t>Bobot SPML</t>
  </si>
  <si>
    <t>Nilai SPML</t>
  </si>
  <si>
    <t>Nilai Kertas Kerja CK</t>
  </si>
  <si>
    <t>Bobot CK</t>
  </si>
  <si>
    <t>Nilai CK</t>
  </si>
  <si>
    <t>A</t>
  </si>
  <si>
    <t>KPPN Tipe A1 Provinsi</t>
  </si>
  <si>
    <t>Rata-rata AKK KPPN Tipe A1 Non Provinsi</t>
  </si>
  <si>
    <t>B</t>
  </si>
  <si>
    <t>KPPN Tipe A1 Non Provinsi</t>
  </si>
  <si>
    <t>C</t>
  </si>
  <si>
    <t>KPPN Tipe A2</t>
  </si>
  <si>
    <t>Rata-rata AKK KPPN Tipe A2</t>
  </si>
  <si>
    <t xml:space="preserve">Jumlah Nilai AKK Seluruh KPPN </t>
  </si>
  <si>
    <t>Jumlah Bobot KPPN yang Memenuhi</t>
  </si>
  <si>
    <t>KPPN Padang</t>
  </si>
  <si>
    <t>KPPN Bukittinggi</t>
  </si>
  <si>
    <t>KPPN Solok</t>
  </si>
  <si>
    <t>KPPN Lubuk Sikaping</t>
  </si>
  <si>
    <t>KPPN Sijunjung</t>
  </si>
  <si>
    <t>KPPN Painan</t>
  </si>
  <si>
    <t>NILAI AKHIR ASPEK KINERJA KPPN LINGKUP KANWIL DJPb PROVINSI SUMATERA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</si>
</sst>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9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2" fontId="0" fillId="4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1" fillId="5" borderId="5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1" fillId="5" borderId="3" xfId="0" applyFont="1" applyFill="1" applyBorder="1"/>
    <xf numFmtId="0" fontId="1" fillId="5" borderId="4" xfId="0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/>
    </xf>
    <xf numFmtId="9" fontId="1" fillId="6" borderId="5" xfId="0" applyNumberFormat="1" applyFont="1" applyFill="1" applyBorder="1" applyAlignment="1">
      <alignment horizontal="center"/>
    </xf>
    <xf numFmtId="2" fontId="1" fillId="5" borderId="1" xfId="0" applyNumberFormat="1" applyFont="1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2" fontId="1" fillId="5" borderId="4" xfId="0" applyNumberFormat="1" applyFont="1" applyFill="1" applyBorder="1"/>
    <xf numFmtId="0" fontId="1" fillId="5" borderId="4" xfId="0" applyFont="1" applyFill="1" applyBorder="1"/>
    <xf numFmtId="0" fontId="1" fillId="3" borderId="3" xfId="0" applyFont="1" applyFill="1" applyBorder="1"/>
    <xf numFmtId="2" fontId="1" fillId="3" borderId="4" xfId="0" applyNumberFormat="1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2" fontId="0" fillId="4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0" fillId="0" borderId="3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2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9" fontId="1" fillId="0" borderId="5" xfId="0" applyNumberFormat="1" applyFont="1" applyFill="1" applyBorder="1" applyAlignment="1">
      <alignment horizontal="center"/>
    </xf>
    <xf numFmtId="2" fontId="0" fillId="0" borderId="1" xfId="0" applyNumberFormat="1" applyFill="1" applyBorder="1"/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emenkeu-my.sharepoint.com/personal/haikal_hendrawan_kemenkeu_go_id/Documents/BACKUP_DEV/5.salamaik/Lampiran_61405531/Kertas_Kerja_dan_Simulasi_Perhitungan_Pedoman_Pembinaan_dan_Supervisi_Baru__1_.xlsx" TargetMode="External"/><Relationship Id="rId1" Type="http://schemas.openxmlformats.org/officeDocument/2006/relationships/externalLinkPath" Target="https://kemenkeu-my.sharepoint.com/personal/haikal_hendrawan_kemenkeu_go_id/Documents/BACKUP_DEV/5.salamaik/Lampiran_61405531/Kertas_Kerja_dan_Simulasi_Perhitungan_Pedoman_Pembinaan_dan_Supervisi_Baru__1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K_Proses Bisnis"/>
      <sheetName val="KK_Sarpras Mutu Layanan"/>
      <sheetName val="KK_Capaian Kinerja"/>
      <sheetName val="NILAI REKAPITULASI"/>
      <sheetName val="SIMULASI PB"/>
      <sheetName val="SIMULASI SPML"/>
      <sheetName val="SIMULASI CK"/>
      <sheetName val="SIMULASI PERHITUNGAN REKAP.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1">
          <cell r="I121">
            <v>100</v>
          </cell>
        </row>
      </sheetData>
      <sheetData sheetId="5">
        <row r="157">
          <cell r="G157">
            <v>100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5080-10BE-4682-A749-501CD6B1C31F}">
  <dimension ref="A1:O20"/>
  <sheetViews>
    <sheetView tabSelected="1" workbookViewId="0">
      <selection activeCell="G25" sqref="G25"/>
    </sheetView>
  </sheetViews>
  <sheetFormatPr defaultRowHeight="15" x14ac:dyDescent="0.25"/>
  <cols>
    <col min="2" max="2" width="29.140625" customWidth="1"/>
    <col min="4" max="4" width="19.140625" bestFit="1" customWidth="1"/>
    <col min="5" max="5" width="9" bestFit="1" customWidth="1"/>
    <col min="6" max="6" width="7.85546875" bestFit="1" customWidth="1"/>
    <col min="7" max="7" width="21.85546875" bestFit="1" customWidth="1"/>
    <col min="8" max="8" width="11.5703125" bestFit="1" customWidth="1"/>
    <col min="9" max="9" width="10.42578125" bestFit="1" customWidth="1"/>
    <col min="10" max="10" width="19.140625" bestFit="1" customWidth="1"/>
    <col min="11" max="11" width="9" bestFit="1" customWidth="1"/>
    <col min="12" max="12" width="7.85546875" bestFit="1" customWidth="1"/>
    <col min="14" max="14" width="16.7109375" bestFit="1" customWidth="1"/>
    <col min="15" max="15" width="31.2851562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5"/>
      <c r="N1" s="6" t="s">
        <v>4</v>
      </c>
      <c r="O1" s="7"/>
    </row>
    <row r="2" spans="1:15" x14ac:dyDescent="0.25">
      <c r="A2" s="1"/>
      <c r="B2" s="1"/>
      <c r="C2" s="8"/>
      <c r="D2" s="1" t="s">
        <v>5</v>
      </c>
      <c r="E2" s="1"/>
      <c r="F2" s="1"/>
      <c r="G2" s="1" t="s">
        <v>6</v>
      </c>
      <c r="H2" s="1"/>
      <c r="I2" s="1"/>
      <c r="J2" s="1" t="s">
        <v>7</v>
      </c>
      <c r="K2" s="1"/>
      <c r="L2" s="1"/>
      <c r="M2" s="9" t="s">
        <v>8</v>
      </c>
      <c r="N2" s="9" t="s">
        <v>9</v>
      </c>
      <c r="O2" s="9" t="s">
        <v>10</v>
      </c>
    </row>
    <row r="3" spans="1:15" x14ac:dyDescent="0.25">
      <c r="A3" s="1"/>
      <c r="B3" s="1"/>
      <c r="C3" s="10"/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11" t="s">
        <v>19</v>
      </c>
      <c r="M3" s="9"/>
      <c r="N3" s="9"/>
      <c r="O3" s="9"/>
    </row>
    <row r="4" spans="1:15" x14ac:dyDescent="0.25">
      <c r="A4" s="12" t="s">
        <v>20</v>
      </c>
      <c r="B4" s="13" t="s">
        <v>21</v>
      </c>
      <c r="C4" s="14">
        <v>0.45</v>
      </c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1:15" x14ac:dyDescent="0.25">
      <c r="A5" s="18">
        <v>1</v>
      </c>
      <c r="B5" s="19" t="s">
        <v>30</v>
      </c>
      <c r="C5" s="20"/>
      <c r="D5" s="21">
        <f>'[1]SIMULASI PB'!I121</f>
        <v>100</v>
      </c>
      <c r="E5" s="22">
        <v>0.5</v>
      </c>
      <c r="F5" s="23">
        <f>D5*E5</f>
        <v>50</v>
      </c>
      <c r="G5" s="21">
        <f>'[1]SIMULASI SPML'!G157</f>
        <v>100</v>
      </c>
      <c r="H5" s="22">
        <v>0.15</v>
      </c>
      <c r="I5" s="23">
        <f>G5*H5</f>
        <v>15</v>
      </c>
      <c r="J5" s="21">
        <v>100</v>
      </c>
      <c r="K5" s="22">
        <v>0.35</v>
      </c>
      <c r="L5" s="23">
        <f>J5*K5</f>
        <v>35</v>
      </c>
      <c r="M5" s="23">
        <f>F5+I5+L5</f>
        <v>100</v>
      </c>
      <c r="N5" s="24">
        <v>0.45</v>
      </c>
      <c r="O5" s="25">
        <f>M5*N5</f>
        <v>45</v>
      </c>
    </row>
    <row r="6" spans="1:15" x14ac:dyDescent="0.25">
      <c r="A6" s="18"/>
      <c r="B6" s="26" t="s">
        <v>22</v>
      </c>
      <c r="C6" s="27"/>
      <c r="D6" s="28"/>
      <c r="E6" s="27"/>
      <c r="F6" s="28"/>
      <c r="G6" s="28"/>
      <c r="H6" s="27"/>
      <c r="I6" s="27"/>
      <c r="J6" s="27"/>
      <c r="K6" s="27"/>
      <c r="L6" s="27"/>
      <c r="M6" s="27"/>
      <c r="N6" s="29">
        <f>C4</f>
        <v>0.45</v>
      </c>
      <c r="O6" s="30">
        <f>AVERAGE(O5:O5)</f>
        <v>45</v>
      </c>
    </row>
    <row r="7" spans="1:15" x14ac:dyDescent="0.25">
      <c r="A7" s="18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3"/>
    </row>
    <row r="8" spans="1:15" x14ac:dyDescent="0.25">
      <c r="A8" s="12" t="s">
        <v>23</v>
      </c>
      <c r="B8" s="13" t="s">
        <v>24</v>
      </c>
      <c r="C8" s="14">
        <v>0.35</v>
      </c>
      <c r="D8" s="34"/>
      <c r="E8" s="35"/>
      <c r="F8" s="35"/>
      <c r="G8" s="35"/>
      <c r="H8" s="35"/>
      <c r="I8" s="35"/>
      <c r="J8" s="35"/>
      <c r="K8" s="35"/>
      <c r="L8" s="35"/>
      <c r="M8" s="35"/>
      <c r="N8" s="35"/>
      <c r="O8" s="36"/>
    </row>
    <row r="9" spans="1:15" x14ac:dyDescent="0.25">
      <c r="A9" s="18"/>
      <c r="B9" s="54" t="s">
        <v>31</v>
      </c>
      <c r="C9" s="55"/>
      <c r="D9" s="56">
        <v>100</v>
      </c>
      <c r="E9" s="57">
        <v>0.5</v>
      </c>
      <c r="F9" s="56">
        <f>D9*E9</f>
        <v>50</v>
      </c>
      <c r="G9" s="56">
        <v>98</v>
      </c>
      <c r="H9" s="58">
        <v>0.15</v>
      </c>
      <c r="I9" s="59">
        <f t="shared" ref="I9" si="0">G9*H9</f>
        <v>14.7</v>
      </c>
      <c r="J9" s="56">
        <v>100</v>
      </c>
      <c r="K9" s="58">
        <v>0.35</v>
      </c>
      <c r="L9" s="59">
        <f t="shared" ref="L9" si="1">J9*K9</f>
        <v>35</v>
      </c>
      <c r="M9" s="59">
        <f>F9+I9+L9</f>
        <v>99.7</v>
      </c>
      <c r="N9" s="60">
        <v>0.35</v>
      </c>
      <c r="O9" s="61">
        <f>M9*N9</f>
        <v>34.894999999999996</v>
      </c>
    </row>
    <row r="10" spans="1:15" x14ac:dyDescent="0.25">
      <c r="A10" s="18"/>
      <c r="B10" s="54" t="s">
        <v>32</v>
      </c>
      <c r="C10" s="62"/>
      <c r="D10" s="56">
        <v>100</v>
      </c>
      <c r="E10" s="57">
        <v>0.5</v>
      </c>
      <c r="F10" s="56">
        <f>D10*E10</f>
        <v>50</v>
      </c>
      <c r="G10" s="56">
        <v>100</v>
      </c>
      <c r="H10" s="58">
        <v>0.15</v>
      </c>
      <c r="I10" s="59">
        <f t="shared" ref="I10" si="2">G10*H10</f>
        <v>15</v>
      </c>
      <c r="J10" s="56">
        <v>95</v>
      </c>
      <c r="K10" s="58">
        <v>0.35</v>
      </c>
      <c r="L10" s="59">
        <f t="shared" ref="L10" si="3">J10*K10</f>
        <v>33.25</v>
      </c>
      <c r="M10" s="59">
        <f>F10+I10+L10</f>
        <v>98.25</v>
      </c>
      <c r="N10" s="60">
        <v>0.35</v>
      </c>
      <c r="O10" s="61">
        <f>M10*N10</f>
        <v>34.387499999999996</v>
      </c>
    </row>
    <row r="11" spans="1:15" x14ac:dyDescent="0.25">
      <c r="A11" s="18"/>
      <c r="B11" s="26" t="s">
        <v>22</v>
      </c>
      <c r="C11" s="27"/>
      <c r="D11" s="37"/>
      <c r="E11" s="38"/>
      <c r="F11" s="37"/>
      <c r="G11" s="37"/>
      <c r="H11" s="38"/>
      <c r="I11" s="38"/>
      <c r="J11" s="38"/>
      <c r="K11" s="38"/>
      <c r="L11" s="38"/>
      <c r="M11" s="38"/>
      <c r="N11" s="29">
        <v>0.35</v>
      </c>
      <c r="O11" s="30">
        <f>AVERAGE(O9:O10)</f>
        <v>34.641249999999999</v>
      </c>
    </row>
    <row r="12" spans="1:15" x14ac:dyDescent="0.25">
      <c r="A12" s="18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3"/>
    </row>
    <row r="13" spans="1:15" x14ac:dyDescent="0.25">
      <c r="A13" s="12" t="s">
        <v>25</v>
      </c>
      <c r="B13" s="39" t="s">
        <v>26</v>
      </c>
      <c r="C13" s="14">
        <v>0.2</v>
      </c>
      <c r="D13" s="40"/>
      <c r="E13" s="41"/>
      <c r="F13" s="40"/>
      <c r="G13" s="40"/>
      <c r="H13" s="41"/>
      <c r="I13" s="41"/>
      <c r="J13" s="41"/>
      <c r="K13" s="41"/>
      <c r="L13" s="41"/>
      <c r="M13" s="41"/>
      <c r="N13" s="41"/>
      <c r="O13" s="42"/>
    </row>
    <row r="14" spans="1:15" x14ac:dyDescent="0.25">
      <c r="A14" s="18">
        <v>1</v>
      </c>
      <c r="B14" s="19" t="s">
        <v>33</v>
      </c>
      <c r="C14" s="20"/>
      <c r="D14" s="43">
        <v>90</v>
      </c>
      <c r="E14" s="44">
        <v>0.5</v>
      </c>
      <c r="F14" s="45">
        <f>D14*E14</f>
        <v>45</v>
      </c>
      <c r="G14" s="43">
        <v>85</v>
      </c>
      <c r="H14" s="22">
        <v>0.15</v>
      </c>
      <c r="I14" s="23">
        <f>G14*H14</f>
        <v>12.75</v>
      </c>
      <c r="J14" s="43">
        <v>100</v>
      </c>
      <c r="K14" s="22">
        <v>0.35</v>
      </c>
      <c r="L14" s="45">
        <f>J14*K14</f>
        <v>35</v>
      </c>
      <c r="M14" s="23">
        <f>F14+I14+L14</f>
        <v>92.75</v>
      </c>
      <c r="N14" s="24">
        <v>0.2</v>
      </c>
      <c r="O14" s="25">
        <f>M14*N14</f>
        <v>18.55</v>
      </c>
    </row>
    <row r="15" spans="1:15" x14ac:dyDescent="0.25">
      <c r="A15" s="18">
        <v>2</v>
      </c>
      <c r="B15" s="19" t="s">
        <v>34</v>
      </c>
      <c r="C15" s="20"/>
      <c r="D15" s="43">
        <v>90</v>
      </c>
      <c r="E15" s="44">
        <v>0.5</v>
      </c>
      <c r="F15" s="45">
        <f t="shared" ref="F15:F16" si="4">D15*E15</f>
        <v>45</v>
      </c>
      <c r="G15" s="43">
        <v>85</v>
      </c>
      <c r="H15" s="22">
        <v>0.15</v>
      </c>
      <c r="I15" s="23">
        <f t="shared" ref="I15:I16" si="5">G15*H15</f>
        <v>12.75</v>
      </c>
      <c r="J15" s="43">
        <v>100</v>
      </c>
      <c r="K15" s="22">
        <v>0.35</v>
      </c>
      <c r="L15" s="45">
        <f t="shared" ref="L15:L16" si="6">J15*K15</f>
        <v>35</v>
      </c>
      <c r="M15" s="23">
        <f t="shared" ref="M15:M16" si="7">F15+I15+L15</f>
        <v>92.75</v>
      </c>
      <c r="N15" s="24">
        <v>0.2</v>
      </c>
      <c r="O15" s="25">
        <f t="shared" ref="O15:O16" si="8">M15*N15</f>
        <v>18.55</v>
      </c>
    </row>
    <row r="16" spans="1:15" x14ac:dyDescent="0.25">
      <c r="A16" s="18">
        <v>3</v>
      </c>
      <c r="B16" s="19" t="s">
        <v>35</v>
      </c>
      <c r="C16" s="63"/>
      <c r="D16" s="43">
        <v>90</v>
      </c>
      <c r="E16" s="44">
        <v>0.5</v>
      </c>
      <c r="F16" s="45">
        <f t="shared" si="4"/>
        <v>45</v>
      </c>
      <c r="G16" s="43">
        <v>85</v>
      </c>
      <c r="H16" s="22">
        <v>0.15</v>
      </c>
      <c r="I16" s="23">
        <f t="shared" si="5"/>
        <v>12.75</v>
      </c>
      <c r="J16" s="43">
        <v>100</v>
      </c>
      <c r="K16" s="22">
        <v>0.35</v>
      </c>
      <c r="L16" s="45">
        <f t="shared" si="6"/>
        <v>35</v>
      </c>
      <c r="M16" s="23">
        <f t="shared" si="7"/>
        <v>92.75</v>
      </c>
      <c r="N16" s="24">
        <v>0.2</v>
      </c>
      <c r="O16" s="25">
        <f t="shared" si="8"/>
        <v>18.55</v>
      </c>
    </row>
    <row r="17" spans="1:15" x14ac:dyDescent="0.25">
      <c r="A17" s="18"/>
      <c r="B17" s="26" t="s">
        <v>27</v>
      </c>
      <c r="C17" s="2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29">
        <v>0.2</v>
      </c>
      <c r="O17" s="30">
        <f>AVERAGE(O14:O14)</f>
        <v>18.55</v>
      </c>
    </row>
    <row r="18" spans="1:15" x14ac:dyDescent="0.25">
      <c r="A18" s="46" t="s">
        <v>28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8"/>
      <c r="O18" s="49">
        <f>(O6+O11+O17)</f>
        <v>98.191249999999997</v>
      </c>
    </row>
    <row r="19" spans="1:15" x14ac:dyDescent="0.25">
      <c r="A19" s="46" t="s">
        <v>29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8"/>
      <c r="O19" s="50">
        <f>N6+N11+N17</f>
        <v>1</v>
      </c>
    </row>
    <row r="20" spans="1:15" ht="21" x14ac:dyDescent="0.35">
      <c r="A20" s="51"/>
      <c r="B20" s="52" t="s">
        <v>36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3">
        <f>O18/O19</f>
        <v>98.191249999999997</v>
      </c>
    </row>
  </sheetData>
  <mergeCells count="24">
    <mergeCell ref="B10:C10"/>
    <mergeCell ref="B12:O12"/>
    <mergeCell ref="B14:C14"/>
    <mergeCell ref="A18:N18"/>
    <mergeCell ref="A19:N19"/>
    <mergeCell ref="B20:N20"/>
    <mergeCell ref="B16:C16"/>
    <mergeCell ref="B15:C15"/>
    <mergeCell ref="O2:O3"/>
    <mergeCell ref="D4:O4"/>
    <mergeCell ref="B5:C5"/>
    <mergeCell ref="B7:O7"/>
    <mergeCell ref="D8:O8"/>
    <mergeCell ref="B9:C9"/>
    <mergeCell ref="A1:A3"/>
    <mergeCell ref="B1:B3"/>
    <mergeCell ref="C1:C3"/>
    <mergeCell ref="D1:M1"/>
    <mergeCell ref="N1:O1"/>
    <mergeCell ref="D2:F2"/>
    <mergeCell ref="G2:I2"/>
    <mergeCell ref="J2:L2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Haikal Putra Hendrawan</dc:creator>
  <cp:lastModifiedBy>Muhammad Haikal Putra Hendrawan</cp:lastModifiedBy>
  <dcterms:created xsi:type="dcterms:W3CDTF">2026-09-12T12:41:56Z</dcterms:created>
  <dcterms:modified xsi:type="dcterms:W3CDTF">2026-09-12T12:54:15Z</dcterms:modified>
</cp:coreProperties>
</file>