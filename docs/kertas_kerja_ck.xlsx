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 3 RYZEN 5300\Downloads\"/>
    </mc:Choice>
  </mc:AlternateContent>
  <xr:revisionPtr revIDLastSave="0" documentId="8_{A3B97057-7DB4-481F-AC57-D0A6630D16E9}" xr6:coauthVersionLast="47" xr6:coauthVersionMax="47" xr10:uidLastSave="{00000000-0000-0000-0000-000000000000}"/>
  <bookViews>
    <workbookView xWindow="-108" yWindow="-108" windowWidth="23256" windowHeight="13176" xr2:uid="{D1BB98E8-A465-4A10-AB50-8F1EB5864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4" i="1"/>
  <c r="G23" i="1"/>
  <c r="G22" i="1"/>
  <c r="G20" i="1"/>
  <c r="G19" i="1"/>
  <c r="G18" i="1"/>
  <c r="G16" i="1"/>
  <c r="G14" i="1"/>
  <c r="G13" i="1"/>
  <c r="G11" i="1"/>
  <c r="G10" i="1"/>
  <c r="G8" i="1"/>
  <c r="G7" i="1"/>
  <c r="G5" i="1"/>
  <c r="G25" i="1" s="1"/>
  <c r="G4" i="1"/>
</calcChain>
</file>

<file path=xl/sharedStrings.xml><?xml version="1.0" encoding="utf-8"?>
<sst xmlns="http://schemas.openxmlformats.org/spreadsheetml/2006/main" count="80" uniqueCount="63">
  <si>
    <t>No</t>
  </si>
  <si>
    <t>Materi</t>
  </si>
  <si>
    <t>Kriteria Penilaian</t>
  </si>
  <si>
    <t>BUKTI DUKUNG KEGIATAN</t>
  </si>
  <si>
    <t>LINK BUKTI DUKUNG KEGIATAN</t>
  </si>
  <si>
    <t>KPPN …</t>
  </si>
  <si>
    <t>Nilai
*jika tidak mempunyai transaksi maka kolom diisi "N/A"</t>
  </si>
  <si>
    <t>Nilai Konversi</t>
  </si>
  <si>
    <t>A.   Perbendaharaan Negara yang efisien dan akuntabel</t>
  </si>
  <si>
    <t>Indeks Kualitas Nilai IKPA K/L</t>
  </si>
  <si>
    <t>Berdasarkan capaian IKI Indeks Kualitas Nilai IKPA K/L
- Nilai 10 
Capaian IKI berwarna hijau
- Nilai 5
Capaian IKI berwarna kuning
- Nilai 0
Capaian IKI berwarna merah</t>
  </si>
  <si>
    <t>Laporan Capaian IKI Indeks Kualitas Nilai IKPA K/L Periode (Triwulanan/ Semesteran/ Tahunan) Tahun XXXX</t>
  </si>
  <si>
    <t xml:space="preserve">LINK BUKTI DUKUNG </t>
  </si>
  <si>
    <t>Indeks Kualitas LK Kuasa BUN KPPN</t>
  </si>
  <si>
    <t>Berdasarkan capaian IKI Indeks Kualitas LK Kuasa BUN KPPN
- Nilai 10 
Capaian IKI berwarna hijau
- Nilai 5
Capaian IKI berwarna kuning
- Nilai 0
Capaian IKI berwarna merah</t>
  </si>
  <si>
    <t>Laporan Capaian IKI Indeks Kualitas LK Kuasa BUN KPPN Periode (Semesteran/ Triwulanan/ Tahunan) Tahun XXXX</t>
  </si>
  <si>
    <t>B.   Dukungan manajemen yang efektif</t>
  </si>
  <si>
    <t>Indeks kepuasan terhadap layanan KPPN</t>
  </si>
  <si>
    <t>Berdasarkan capaian IKI Indeks kepuasan terhadap layanan KPPN
- Nilai 10 
Capaian IKI berwarna hijau
- Nilai 5
Capaian IKI berwarna kuning
- Nilai 0
Capaian IKI berwarna merah</t>
  </si>
  <si>
    <t>Laporan Capaian IKI Indeks kepuasan terhadap layanan KPPN Periode (Semesteran/ Triwulanan/ Tahunan) Tahun XXXX</t>
  </si>
  <si>
    <t>N/A</t>
  </si>
  <si>
    <t>Tingkat implementasi penajaman tugas Financial Advisory</t>
  </si>
  <si>
    <t>Berdasarkan capaian IKI Tingkat implementasi penajaman tugas Financial Advisory
- Nilai 10 
Capaian IKI berwarna hijau
- Nilai 5
Capaian IKI berwarna kuning
- Nilai 0
Capaian IKI berwarna merah</t>
  </si>
  <si>
    <t>Laporan Capaian IKI Tingkat implementasi penajaman tugas Financial Advisory Periode (Semesteran/ Triwulanan/ Tahunan) Tahun XXXX</t>
  </si>
  <si>
    <t>C.   Pelaksanaan anggaran yang optimal</t>
  </si>
  <si>
    <t xml:space="preserve"> </t>
  </si>
  <si>
    <t>Indeks kinerja penyaluran Dana Transfer ke Daerah pada KPPN</t>
  </si>
  <si>
    <t>Berdasarkan capaian IKI Indeks kinerja penyaluran Dana Transfer ke Daerah pada KPPN
- Nilai 10 
Capaian IKI berwarna hijau
- Nilai 5
Capaian IKI berwarna kuning
- Nilai 0
Capaian IKI berwarna merah</t>
  </si>
  <si>
    <t>Indeks Digitalisasi Pengelolaan Keuangan</t>
  </si>
  <si>
    <t>Berdasarkan capaian IKI Indeks Digitalisasi Pengelolaan Keuangan
- Nilai 10 
Capaian IKI berwarna hijau
- Nilai 5
Capaian IKI berwarna kuning
- Nilai 0
Capaian IKI berwarna merah</t>
  </si>
  <si>
    <t>D.   Pengelolaan kas yang prudent, efektif dan efisien</t>
  </si>
  <si>
    <t>Persentase akurasi perencanaan kas</t>
  </si>
  <si>
    <t>Berdasarkan capaian IKI Persentase akurasi perencanaan kas
- Nilai 10 
Capaian IKI berwarna hijau
- Nilai 5
Capaian IKI berwarna kuning
- Nilai 0
Capaian IKI berwarna merah</t>
  </si>
  <si>
    <t>Laporan Capaian IKI Persentase akurasi perencanaan kas Periode (Semesteran/ Triwulanan/ Tahunan) Tahun XXXX</t>
  </si>
  <si>
    <t xml:space="preserve">Indeks kualitas penyelesaian SP2D </t>
  </si>
  <si>
    <t>Berdasarkan capaian IKI Indeks kualitas penyelesaian SP2D
- Nilai 10 
Capaian IKI berwarna hijau
- Nilai 5
Capaian IKI berwarna kuning
- Nilai 0
Capaian IKI berwarna merah</t>
  </si>
  <si>
    <t>Laporan Capaian IKI Indeks kualitas penyelesaian SP2D Periode (Semesteran/ Triwulanan/ Tahunan) Tahun XXXX</t>
  </si>
  <si>
    <t>E.   Pertanggungjawaban keuangan negara yang akuntabel</t>
  </si>
  <si>
    <t>Indeks Kualitas LPJ Bendahara Satker K/L</t>
  </si>
  <si>
    <t>Berdasarkan capaian IKI Indeks Kualitas LPJ Bendahara Satker K/L
- Nilai 10 
Capaian IKI berwarna hijau
- Nilai 5
Capaian IKI berwarna kuning
- Nilai 0
Capaian IKI berwarna merah</t>
  </si>
  <si>
    <t>Laporan Capaian IKI Indeks Kualitas LPJ Bendahara Satker K/L
Periode (Semesteran/ Triwulanan/ Tahunan) Tahun XXXX</t>
  </si>
  <si>
    <t>F.    Pengelolaan organisasi dan SDM yang adaptif serta pengendalian internal yang efektif</t>
  </si>
  <si>
    <t>Tingkat kualitas pengelolaan kinerja organisasi</t>
  </si>
  <si>
    <t>Berdasarkan capaian IKI Tingkat kualitas pengelolaan kinerja organisasi
- Nilai 10 
Capaian IKI berwarna hijau
- Nilai 5
Capaian IKI berwarna kuning
- Nilai 0
Capaian IKI berwarna merah</t>
  </si>
  <si>
    <t>Laporan Capaian IKI Tingkat kualitas pengelolaan kinerja organisasi Periode (Semesteran/ Triwulanan/ Tahunan) Tahun XXXX</t>
  </si>
  <si>
    <t>Nilai kualitas pengelolaan SDM</t>
  </si>
  <si>
    <t>Berdasarkan capaian IKI Nilai kualitas pengelolaan SDM
- Nilai 10 
Capaian IKI berwarna hijau
- Nilai 5
Capaian IKI berwarna kuning
- Nilai 0
Capaian IKI berwarna merah</t>
  </si>
  <si>
    <t>Laporan Capaian IKI Nilai kualitas pengelolaan SDM Periode (Semesteran/ Triwulanan/ Tahunan) Tahun XXXX</t>
  </si>
  <si>
    <t>Nilai Evaluasi Pelaksanaan Tugas Kepatuhan Internal</t>
  </si>
  <si>
    <t>Berdasarkan capaian IKI Nilai Evaluasi Pelaksanaan Tugas Kepatuhan Internal
- Nilai 10 
Capaian IKI berwarna hijau
- Nilai 5
Capaian IKI berwarna kuning
- Nilai 0
Capaian IKI berwarna merah</t>
  </si>
  <si>
    <t>Laporan Capaian IKI Nilai Evaluasi Pelaksanaan Tugas Kepatuhan Internal Periode (Semesteran/ Triwulanan/ Tahunan) Tahun XXXX</t>
  </si>
  <si>
    <t>G.   Pengelolaan keuangan yang akuntabel, BMN yang produktif serta teknologi dan informasi yang berkualitas</t>
  </si>
  <si>
    <t>Indeks kualitas pengelolaan keuangan KPPN</t>
  </si>
  <si>
    <t>Berdasarkan capaian IKI Indeks kualitas pengelolaan keuangan KPPN
- Nilai 10 
Capaian IKI berwarna hijau
- Nilai 5
Capaian IKI berwarna kuning
- Nilai 0
Capaian IKI berwarna merah</t>
  </si>
  <si>
    <t>Laporan Capaian IKI Indeks kualitas pengelolaan keuangan KPPN Periode (Semesteran/ Triwulanan/ Tahunan) Tahun XXXX</t>
  </si>
  <si>
    <t>Persentase Kualitas Pengelolaan BMN dan Pengadaan</t>
  </si>
  <si>
    <t>Berdasarkan capaian IKI Persentase Kualitas Pengelolaan BMN dan Pengadaan
- Nilai 10 
Capaian IKI berwarna hijau
- Nilai 5
Capaian IKI berwarna kuning
- Nilai 0
Capaian IKI berwarna merah</t>
  </si>
  <si>
    <t>Laporan Capaian IKI Persentase Kualitas Pengelolaan BMN dan Pengadaan Periode (Semesteran/ Triwulanan/ Tahunan) Tahun XXXX</t>
  </si>
  <si>
    <t>Nilai Kinerja TIK KPPN</t>
  </si>
  <si>
    <t>Berdasarkan capaian IKI Nilai Kinerja TIK KPPN
- Nilai 10 
Capaian IKI berwarna hijau
- Nilai 5
Capaian IKI berwarna kuning
- Nilai 0
Capaian IKI berwarna merah</t>
  </si>
  <si>
    <t>Laporan Capaian IKI Nilai Kinerja TIK KPPN</t>
  </si>
  <si>
    <t>Total Nilai</t>
  </si>
  <si>
    <t>Rata-Rata Total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</si>
</sst>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8A77-BFA6-45AD-BAB5-597279246A00}">
  <dimension ref="A1:G26"/>
  <sheetViews>
    <sheetView tabSelected="1" workbookViewId="0">
      <selection activeCell="F32" sqref="F32"/>
    </sheetView>
  </sheetViews>
  <sheetFormatPr defaultRowHeight="14.4" x14ac:dyDescent="0.3"/>
  <cols>
    <col min="2" max="2" width="22.33203125" customWidth="1"/>
    <col min="3" max="3" width="19.5546875" customWidth="1"/>
    <col min="4" max="4" width="20.21875" customWidth="1"/>
    <col min="5" max="5" width="19" customWidth="1"/>
    <col min="6" max="6" width="23.88671875" customWidth="1"/>
    <col min="7" max="7" width="20.4414062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</row>
    <row r="2" spans="1:7" ht="144" x14ac:dyDescent="0.3">
      <c r="A2" s="1"/>
      <c r="B2" s="2"/>
      <c r="C2" s="1"/>
      <c r="D2" s="2"/>
      <c r="E2" s="2"/>
      <c r="F2" s="3" t="s">
        <v>6</v>
      </c>
      <c r="G2" s="3" t="s">
        <v>7</v>
      </c>
    </row>
    <row r="3" spans="1:7" x14ac:dyDescent="0.3">
      <c r="A3" s="4" t="s">
        <v>8</v>
      </c>
      <c r="B3" s="5"/>
      <c r="C3" s="6"/>
      <c r="D3" s="6"/>
      <c r="E3" s="6"/>
      <c r="F3" s="7"/>
      <c r="G3" s="8"/>
    </row>
    <row r="4" spans="1:7" ht="316.8" x14ac:dyDescent="0.3">
      <c r="A4" s="9">
        <v>1</v>
      </c>
      <c r="B4" s="10" t="s">
        <v>9</v>
      </c>
      <c r="C4" s="10" t="s">
        <v>10</v>
      </c>
      <c r="D4" s="10" t="s">
        <v>11</v>
      </c>
      <c r="E4" s="10" t="s">
        <v>12</v>
      </c>
      <c r="F4" s="9">
        <v>10</v>
      </c>
      <c r="G4" s="11">
        <f>IF(F4="N/A","N/A",IF(F4=10,100,IF(F4=0,0,"")))</f>
        <v>100</v>
      </c>
    </row>
    <row r="5" spans="1:7" ht="331.2" x14ac:dyDescent="0.3">
      <c r="A5" s="9">
        <v>2</v>
      </c>
      <c r="B5" s="10" t="s">
        <v>13</v>
      </c>
      <c r="C5" s="10" t="s">
        <v>14</v>
      </c>
      <c r="D5" s="10" t="s">
        <v>15</v>
      </c>
      <c r="E5" s="10" t="s">
        <v>12</v>
      </c>
      <c r="F5" s="9">
        <v>10</v>
      </c>
      <c r="G5" s="11">
        <f>IF(F5="N/A","N/A",IF(F5=10,100,IF(F5=0,0,"")))</f>
        <v>100</v>
      </c>
    </row>
    <row r="6" spans="1:7" x14ac:dyDescent="0.3">
      <c r="A6" s="4" t="s">
        <v>16</v>
      </c>
      <c r="B6" s="5"/>
      <c r="C6" s="6"/>
      <c r="D6" s="6"/>
      <c r="E6" s="6"/>
      <c r="F6" s="12"/>
      <c r="G6" s="13"/>
    </row>
    <row r="7" spans="1:7" ht="331.2" x14ac:dyDescent="0.3">
      <c r="A7" s="9">
        <v>3</v>
      </c>
      <c r="B7" s="10" t="s">
        <v>17</v>
      </c>
      <c r="C7" s="10" t="s">
        <v>18</v>
      </c>
      <c r="D7" s="10" t="s">
        <v>19</v>
      </c>
      <c r="E7" s="10" t="s">
        <v>12</v>
      </c>
      <c r="F7" s="9" t="s">
        <v>20</v>
      </c>
      <c r="G7" s="11" t="str">
        <f t="shared" ref="G7:G8" si="0">IF(F7="N/A","N/A",IF(F7=10,100,IF(F7=0,0,"")))</f>
        <v>N/A</v>
      </c>
    </row>
    <row r="8" spans="1:7" ht="374.4" x14ac:dyDescent="0.3">
      <c r="A8" s="9">
        <v>4</v>
      </c>
      <c r="B8" s="10" t="s">
        <v>21</v>
      </c>
      <c r="C8" s="10" t="s">
        <v>22</v>
      </c>
      <c r="D8" s="10" t="s">
        <v>23</v>
      </c>
      <c r="E8" s="10" t="s">
        <v>12</v>
      </c>
      <c r="F8" s="9">
        <v>10</v>
      </c>
      <c r="G8" s="11">
        <f t="shared" si="0"/>
        <v>100</v>
      </c>
    </row>
    <row r="9" spans="1:7" x14ac:dyDescent="0.3">
      <c r="A9" s="4" t="s">
        <v>24</v>
      </c>
      <c r="B9" s="5"/>
      <c r="C9" s="6"/>
      <c r="D9" s="6"/>
      <c r="E9" s="6"/>
      <c r="F9" s="12" t="s">
        <v>25</v>
      </c>
      <c r="G9" s="13"/>
    </row>
    <row r="10" spans="1:7" ht="388.8" x14ac:dyDescent="0.3">
      <c r="A10" s="9">
        <v>5</v>
      </c>
      <c r="B10" s="10" t="s">
        <v>26</v>
      </c>
      <c r="C10" s="10" t="s">
        <v>27</v>
      </c>
      <c r="D10" s="10" t="s">
        <v>19</v>
      </c>
      <c r="E10" s="10" t="s">
        <v>12</v>
      </c>
      <c r="F10" s="9">
        <v>10</v>
      </c>
      <c r="G10" s="11">
        <f t="shared" ref="G10:G11" si="1">IF(F10="N/A","N/A",IF(F10=10,100,IF(F10=0,0,"")))</f>
        <v>100</v>
      </c>
    </row>
    <row r="11" spans="1:7" ht="345.6" x14ac:dyDescent="0.3">
      <c r="A11" s="9">
        <v>6</v>
      </c>
      <c r="B11" s="10" t="s">
        <v>28</v>
      </c>
      <c r="C11" s="10" t="s">
        <v>29</v>
      </c>
      <c r="D11" s="10" t="s">
        <v>23</v>
      </c>
      <c r="E11" s="10" t="s">
        <v>12</v>
      </c>
      <c r="F11" s="9">
        <v>10</v>
      </c>
      <c r="G11" s="11">
        <f t="shared" si="1"/>
        <v>100</v>
      </c>
    </row>
    <row r="12" spans="1:7" x14ac:dyDescent="0.3">
      <c r="A12" s="4" t="s">
        <v>30</v>
      </c>
      <c r="B12" s="5"/>
      <c r="C12" s="6"/>
      <c r="D12" s="6"/>
      <c r="E12" s="6"/>
      <c r="F12" s="12"/>
      <c r="G12" s="13"/>
    </row>
    <row r="13" spans="1:7" ht="331.2" x14ac:dyDescent="0.3">
      <c r="A13" s="9">
        <v>7</v>
      </c>
      <c r="B13" s="10" t="s">
        <v>31</v>
      </c>
      <c r="C13" s="10" t="s">
        <v>32</v>
      </c>
      <c r="D13" s="10" t="s">
        <v>33</v>
      </c>
      <c r="E13" s="10" t="s">
        <v>12</v>
      </c>
      <c r="F13" s="9">
        <v>10</v>
      </c>
      <c r="G13" s="11">
        <f t="shared" ref="G13:G14" si="2">IF(F13="N/A","N/A",IF(F13=10,100,IF(F13=0,0,"")))</f>
        <v>100</v>
      </c>
    </row>
    <row r="14" spans="1:7" ht="331.2" x14ac:dyDescent="0.3">
      <c r="A14" s="9">
        <v>8</v>
      </c>
      <c r="B14" s="10" t="s">
        <v>34</v>
      </c>
      <c r="C14" s="10" t="s">
        <v>35</v>
      </c>
      <c r="D14" s="10" t="s">
        <v>36</v>
      </c>
      <c r="E14" s="10" t="s">
        <v>12</v>
      </c>
      <c r="F14" s="9">
        <v>10</v>
      </c>
      <c r="G14" s="11">
        <f t="shared" si="2"/>
        <v>100</v>
      </c>
    </row>
    <row r="15" spans="1:7" x14ac:dyDescent="0.3">
      <c r="A15" s="4" t="s">
        <v>37</v>
      </c>
      <c r="B15" s="5"/>
      <c r="C15" s="6"/>
      <c r="D15" s="6"/>
      <c r="E15" s="6"/>
      <c r="F15" s="12"/>
      <c r="G15" s="13"/>
    </row>
    <row r="16" spans="1:7" ht="345.6" x14ac:dyDescent="0.3">
      <c r="A16" s="9">
        <v>9</v>
      </c>
      <c r="B16" s="10" t="s">
        <v>38</v>
      </c>
      <c r="C16" s="10" t="s">
        <v>39</v>
      </c>
      <c r="D16" s="10" t="s">
        <v>40</v>
      </c>
      <c r="E16" s="10" t="s">
        <v>12</v>
      </c>
      <c r="F16" s="9">
        <v>10</v>
      </c>
      <c r="G16" s="11">
        <f>IF(F16="N/A","N/A",IF(F16=10,100,IF(F16=0,0,"")))</f>
        <v>100</v>
      </c>
    </row>
    <row r="17" spans="1:7" x14ac:dyDescent="0.3">
      <c r="A17" s="4" t="s">
        <v>41</v>
      </c>
      <c r="B17" s="5"/>
      <c r="C17" s="6"/>
      <c r="D17" s="6"/>
      <c r="E17" s="6"/>
      <c r="F17" s="12"/>
      <c r="G17" s="13"/>
    </row>
    <row r="18" spans="1:7" ht="360" x14ac:dyDescent="0.3">
      <c r="A18" s="9">
        <v>10</v>
      </c>
      <c r="B18" s="10" t="s">
        <v>42</v>
      </c>
      <c r="C18" s="10" t="s">
        <v>43</v>
      </c>
      <c r="D18" s="10" t="s">
        <v>44</v>
      </c>
      <c r="E18" s="10" t="s">
        <v>12</v>
      </c>
      <c r="F18" s="9">
        <v>10</v>
      </c>
      <c r="G18" s="11">
        <f>IF(F18="N/A","N/A",IF(F18=10,100,IF(F18=0,0,"")))</f>
        <v>100</v>
      </c>
    </row>
    <row r="19" spans="1:7" ht="316.8" x14ac:dyDescent="0.3">
      <c r="A19" s="9">
        <v>11</v>
      </c>
      <c r="B19" s="10" t="s">
        <v>45</v>
      </c>
      <c r="C19" s="10" t="s">
        <v>46</v>
      </c>
      <c r="D19" s="10" t="s">
        <v>47</v>
      </c>
      <c r="E19" s="10" t="s">
        <v>12</v>
      </c>
      <c r="F19" s="9">
        <v>10</v>
      </c>
      <c r="G19" s="11">
        <f>IF(F19="N/A","N/A",IF(F19=10,100,IF(F19=0,0,"")))</f>
        <v>100</v>
      </c>
    </row>
    <row r="20" spans="1:7" ht="360" x14ac:dyDescent="0.3">
      <c r="A20" s="9">
        <v>12</v>
      </c>
      <c r="B20" s="10" t="s">
        <v>48</v>
      </c>
      <c r="C20" s="10" t="s">
        <v>49</v>
      </c>
      <c r="D20" s="10" t="s">
        <v>50</v>
      </c>
      <c r="E20" s="10" t="s">
        <v>12</v>
      </c>
      <c r="F20" s="9">
        <v>10</v>
      </c>
      <c r="G20" s="11">
        <f>IF(F20="N/A","N/A",IF(F20=10,100,IF(F20=0,0,"")))</f>
        <v>100</v>
      </c>
    </row>
    <row r="21" spans="1:7" x14ac:dyDescent="0.3">
      <c r="A21" s="4" t="s">
        <v>51</v>
      </c>
      <c r="B21" s="5"/>
      <c r="C21" s="6"/>
      <c r="D21" s="6"/>
      <c r="E21" s="6"/>
      <c r="F21" s="12"/>
      <c r="G21" s="13"/>
    </row>
    <row r="22" spans="1:7" ht="345.6" x14ac:dyDescent="0.3">
      <c r="A22" s="9">
        <v>13</v>
      </c>
      <c r="B22" s="10" t="s">
        <v>52</v>
      </c>
      <c r="C22" s="10" t="s">
        <v>53</v>
      </c>
      <c r="D22" s="10" t="s">
        <v>54</v>
      </c>
      <c r="E22" s="10" t="s">
        <v>12</v>
      </c>
      <c r="F22" s="9">
        <v>10</v>
      </c>
      <c r="G22" s="11">
        <f t="shared" ref="G22:G24" si="3">IF(F22="N/A","N/A",IF(F22=10,100,IF(F22=0,0,"")))</f>
        <v>100</v>
      </c>
    </row>
    <row r="23" spans="1:7" ht="374.4" x14ac:dyDescent="0.3">
      <c r="A23" s="9">
        <v>14</v>
      </c>
      <c r="B23" s="10" t="s">
        <v>55</v>
      </c>
      <c r="C23" s="10" t="s">
        <v>56</v>
      </c>
      <c r="D23" s="10" t="s">
        <v>57</v>
      </c>
      <c r="E23" s="10" t="s">
        <v>12</v>
      </c>
      <c r="F23" s="9" t="s">
        <v>20</v>
      </c>
      <c r="G23" s="11" t="str">
        <f t="shared" si="3"/>
        <v>N/A</v>
      </c>
    </row>
    <row r="24" spans="1:7" ht="302.39999999999998" x14ac:dyDescent="0.3">
      <c r="A24" s="9">
        <v>15</v>
      </c>
      <c r="B24" s="10" t="s">
        <v>58</v>
      </c>
      <c r="C24" s="10" t="s">
        <v>59</v>
      </c>
      <c r="D24" s="10" t="s">
        <v>60</v>
      </c>
      <c r="E24" s="10" t="s">
        <v>12</v>
      </c>
      <c r="F24" s="9">
        <v>10</v>
      </c>
      <c r="G24" s="11">
        <f t="shared" si="3"/>
        <v>100</v>
      </c>
    </row>
    <row r="25" spans="1:7" x14ac:dyDescent="0.3">
      <c r="A25" s="14" t="s">
        <v>61</v>
      </c>
      <c r="B25" s="14"/>
      <c r="C25" s="14"/>
      <c r="D25" s="14"/>
      <c r="E25" s="14"/>
      <c r="F25" s="14"/>
      <c r="G25" s="15">
        <f>SUM(G5:G24)</f>
        <v>1200</v>
      </c>
    </row>
    <row r="26" spans="1:7" x14ac:dyDescent="0.3">
      <c r="A26" s="1" t="s">
        <v>62</v>
      </c>
      <c r="B26" s="1"/>
      <c r="C26" s="1"/>
      <c r="D26" s="1"/>
      <c r="E26" s="1"/>
      <c r="F26" s="1"/>
      <c r="G26" s="16">
        <f>AVERAGEIF(G5:G24,"&lt;&gt;N/A")</f>
        <v>100</v>
      </c>
    </row>
  </sheetData>
  <mergeCells count="8">
    <mergeCell ref="A25:F25"/>
    <mergeCell ref="A26:F26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Haikal Putra Hendrawan</dc:creator>
  <cp:lastModifiedBy>Muhammad Haikal Putra Hendrawan</cp:lastModifiedBy>
  <dcterms:created xsi:type="dcterms:W3CDTF">2026-09-01T08:17:16Z</dcterms:created>
  <dcterms:modified xsi:type="dcterms:W3CDTF">2026-09-01T08:18:09Z</dcterms:modified>
</cp:coreProperties>
</file>